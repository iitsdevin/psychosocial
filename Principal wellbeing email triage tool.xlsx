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4115009\Downloads\"/>
    </mc:Choice>
  </mc:AlternateContent>
  <xr:revisionPtr revIDLastSave="0" documentId="8_{1A04F379-4888-4A2F-B068-9534067B2933}" xr6:coauthVersionLast="47" xr6:coauthVersionMax="47" xr10:uidLastSave="{00000000-0000-0000-0000-000000000000}"/>
  <bookViews>
    <workbookView xWindow="945" yWindow="1545" windowWidth="26595" windowHeight="15495" tabRatio="500" xr2:uid="{00000000-000D-0000-FFFF-FFFF00000000}"/>
  </bookViews>
  <sheets>
    <sheet name="Interactive triage" sheetId="7" r:id="rId1"/>
    <sheet name="Select answers" sheetId="1" state="hidden" r:id="rId2"/>
    <sheet name="Draft reply" sheetId="2" state="hidden" r:id="rId3"/>
    <sheet name="Pivot source data" sheetId="4" state="hidden" r:id="rId4"/>
    <sheet name="Reference links" sheetId="5" r:id="rId5"/>
    <sheet name="Response library" sheetId="6" r:id="rId6"/>
    <sheet name="Preset responses" sheetId="8" r:id="rId7"/>
  </sheets>
  <definedNames>
    <definedName name="Slicer_CommonResponse">#N/A</definedName>
    <definedName name="Slicer_Panel">#N/A</definedName>
    <definedName name="Slicer_Q1">#N/A</definedName>
    <definedName name="Slicer_Q2">#N/A</definedName>
    <definedName name="Slicer_Q3">#N/A</definedName>
    <definedName name="Slicer_Q4">#N/A</definedName>
    <definedName name="Slicer_Q5">#N/A</definedName>
    <definedName name="Slicer_Q6">#N/A</definedName>
    <definedName name="Slicer_Travel">#N/A</definedName>
  </definedNames>
  <calcPr calcId="191029" iterateDelta="1E-4" forceFullCalc="1" fullCalcOnLoad="1"/>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4:slicerCache r:id="rId11"/>
        <x14:slicerCache r:id="rId12"/>
        <x14:slicerCache r:id="rId13"/>
        <x14:slicerCache r:id="rId14"/>
        <x14:slicerCache r:id="rId15"/>
        <x14:slicerCache r:id="rId1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ns2="http://schemas.libreoffice.org/" uri="{7626C862-2A13-11E5-B345-FEFF819CDC9F}">
      <ns2:extCalcPr stringRefSyntax="ExcelA1"/>
    </ext>
  </extLst>
</workbook>
</file>

<file path=xl/sharedStrings.xml><?xml version="1.0" encoding="utf-8"?>
<sst xmlns="http://schemas.openxmlformats.org/spreadsheetml/2006/main" count="233" uniqueCount="137">
  <si>
    <t>Principal wellbeing query triage tool</t>
  </si>
  <si>
    <t>How to use this tool: answer the six decision-making framework questions for the query you are triaging, then add whether it aligns with the panel and whether it involves travel. Open the 'Draft reply' tab to see the assessment and a draft response update automatically. This tool supports professional judgement. It does not replace it.</t>
  </si>
  <si>
    <t>Decision-making framework</t>
  </si>
  <si>
    <t>Q1. Will this directly benefit my health, wellbeing or both as a principal?</t>
  </si>
  <si>
    <t>Q2. Does this align with the priorities in the health and wellbeing strategies or panel service categories?</t>
  </si>
  <si>
    <t xml:space="preserve">Q3. Would this expenditure uphold Department values and standards, as per the Integrity framework and Code of Conduct?</t>
  </si>
  <si>
    <t>Q4. Is the provider reputable, appropriately insured and qualified to deliver the service?</t>
  </si>
  <si>
    <t xml:space="preserve">Q5. Does this service meet a need that cannot be provided for by current Department programs or services?</t>
  </si>
  <si>
    <t xml:space="preserve">Q6. Have all supplier-related conflicts of interest been identified, reported and appropriately managed (or do none apply)?</t>
  </si>
  <si>
    <t>Additional routing questions</t>
  </si>
  <si>
    <t>Does this align with the panel of wellbeing service providers?</t>
  </si>
  <si>
    <t xml:space="preserve">Does this involve travel or accommodation?</t>
  </si>
  <si>
    <t xml:space="preserve">Tip: to clear a slicer, select the small red 'X' funnel button in its top right corner.</t>
  </si>
  <si>
    <t>Draft reply</t>
  </si>
  <si>
    <t>This updates automatically from the 'Select answers' tab. Use it as a starting point for your reply and adjust the wording to fit the query.</t>
  </si>
  <si>
    <t>Overall assessment</t>
  </si>
  <si>
    <t>Basis for this assessment</t>
  </si>
  <si>
    <t>Question</t>
  </si>
  <si>
    <t>Your answer</t>
  </si>
  <si>
    <t>Q1: Will this directly benefit my health, wellbeing or both as a principal?</t>
  </si>
  <si>
    <t>Q2: Does this align with the priorities in the health and wellbeing strategies or panel service categories?</t>
  </si>
  <si>
    <t xml:space="preserve">Q3: Would this expenditure uphold Department values and standards, as per the Integrity framework and Code of Conduct?</t>
  </si>
  <si>
    <t>Q4: Is the provider reputable, appropriately insured and qualified to deliver the service?</t>
  </si>
  <si>
    <t xml:space="preserve">Q5: Does this service meet a need that cannot be provided for by current Department programs or services?</t>
  </si>
  <si>
    <t xml:space="preserve">Q6: Have all supplier-related conflicts of interest been identified, reported and appropriately managed (or do none apply)?</t>
  </si>
  <si>
    <t>Draft reply text</t>
  </si>
  <si>
    <t>Reference links</t>
  </si>
  <si>
    <t>Topic</t>
  </si>
  <si>
    <t>Link</t>
  </si>
  <si>
    <t>Spend principal wellbeing targeted funding (decision-making framework)</t>
  </si>
  <si>
    <t>https://ikon.education.wa.edu.au/-/spend-principal-wellbeing-targeted-funding</t>
  </si>
  <si>
    <t>Examples of using the decision-making framework</t>
  </si>
  <si>
    <t>https://ikon.education.wa.edu.au/-/examples-of-using-the-decision-making-framework-for-wellbeing-expenditure-decisions/</t>
  </si>
  <si>
    <t>Integrity framework</t>
  </si>
  <si>
    <t>https://ikon.education.wa.edu.au/-/integrity-framework/</t>
  </si>
  <si>
    <t>Our Code of Conduct and standards</t>
  </si>
  <si>
    <t>https://ikon.education.wa.edu.au/-/our-code-of-conduct-and-standards/</t>
  </si>
  <si>
    <t>Report a conflict of interest</t>
  </si>
  <si>
    <t>https://ikon.education.wa.edu.au/-/declare-a-conflict-of-interest</t>
  </si>
  <si>
    <t>Access the Employee Assistance Program</t>
  </si>
  <si>
    <t>https://ikon.education.wa.edu.au/-/access-the-employee-assistance-program</t>
  </si>
  <si>
    <t>AHPRA practitioner register</t>
  </si>
  <si>
    <t>https://www.ahpra.gov.au/</t>
  </si>
  <si>
    <t>Buy goods and services under $50,000</t>
  </si>
  <si>
    <t>https://ikon.education.wa.edu.au/-/buy-goods-and-services-under-50-000</t>
  </si>
  <si>
    <t>Follow the rules for buying goods and services</t>
  </si>
  <si>
    <t>https://ikon.education.wa.edu.au/-/follow-rules-for-buying-goods-and-services</t>
  </si>
  <si>
    <t>Official Travel Policy</t>
  </si>
  <si>
    <t>https://www.education.wa.edu.au/web/policies/-/official-travel-policy</t>
  </si>
  <si>
    <t>Manage accounting records</t>
  </si>
  <si>
    <t>https://ikon.education.wa.edu.au/-/manage-accounting-records</t>
  </si>
  <si>
    <t>Principal Wellbeing Connect Community</t>
  </si>
  <si>
    <t>https://connect.det.wa.edu.au/group/staff/ui/community/summary?coisp=DomainCommunity:6697628811</t>
  </si>
  <si>
    <t>Principal wellbeing query triage</t>
  </si>
  <si>
    <t>Select responses</t>
  </si>
  <si>
    <t>Triage result</t>
  </si>
  <si>
    <t>Draft email reply</t>
  </si>
  <si>
    <t xml:space="preserve">Greeting &amp; recipient name</t>
  </si>
  <si>
    <t/>
  </si>
  <si>
    <t xml:space="preserve">Pick a greeting and add a name, e.g. 'Good morning Damien,'</t>
  </si>
  <si>
    <t xml:space="preserve">Select Yes, No or Maybe in the question slicers below - you do not need to answer every question; unanswered ones are simply left out of the draft. For recurring queries, pick a common response override instead. Then add a greeting, name and topic under 'Draft email reply' and copy the finished draft into Outlook. To clear a slicer, click the funnel-with-x button in its top right corner.</t>
  </si>
  <si>
    <t xml:space="preserve">Edit the modular wording on the Response library tab and the recurring full responses on the Preset responses tab. The draft remains a starting point: add case-specific detail and confirm the final advice against current Ikon guidance before sending.</t>
  </si>
  <si>
    <t>Draft paragraph</t>
  </si>
  <si>
    <t>Q1</t>
  </si>
  <si>
    <t>Visible row</t>
  </si>
  <si>
    <t>Yes</t>
  </si>
  <si>
    <t>No</t>
  </si>
  <si>
    <t>Maybe</t>
  </si>
  <si>
    <t>Q2</t>
  </si>
  <si>
    <t>Q3</t>
  </si>
  <si>
    <t>Q4</t>
  </si>
  <si>
    <t>Q5</t>
  </si>
  <si>
    <t>Q6</t>
  </si>
  <si>
    <t>Panel</t>
  </si>
  <si>
    <t>Travel</t>
  </si>
  <si>
    <t>Selected Q1</t>
  </si>
  <si>
    <t>Selected Q2</t>
  </si>
  <si>
    <t>Selected Q3</t>
  </si>
  <si>
    <t>Selected Q4</t>
  </si>
  <si>
    <t>Selected Q5</t>
  </si>
  <si>
    <t>Selected Q6</t>
  </si>
  <si>
    <t>Selected Panel</t>
  </si>
  <si>
    <t>Selected Travel</t>
  </si>
  <si>
    <t>Q1 paragraph</t>
  </si>
  <si>
    <t>Q2 paragraph</t>
  </si>
  <si>
    <t>Q3 paragraph</t>
  </si>
  <si>
    <t>Q4 paragraph</t>
  </si>
  <si>
    <t>Q5 paragraph</t>
  </si>
  <si>
    <t>Q6 paragraph</t>
  </si>
  <si>
    <t>Panel paragraph</t>
  </si>
  <si>
    <t>Travel paragraph</t>
  </si>
  <si>
    <t>Combined draft body</t>
  </si>
  <si>
    <t>Question code</t>
  </si>
  <si>
    <t>Answer</t>
  </si>
  <si>
    <t>Draft email paragraph — edit this yellow column</t>
  </si>
  <si>
    <t>Lookup key — do not edit</t>
  </si>
  <si>
    <t>Will this directly benefit my health, wellbeing or both as a principal?</t>
  </si>
  <si>
    <t xml:space="preserve">The proposed expenditure meets the first test of the decision-making framework: it is intended to directly benefit your health, wellbeing or both as a principal.</t>
  </si>
  <si>
    <t xml:space="preserve">The proposed expenditure does not appear to directly benefit your health or wellbeing as a principal. The targeted funding is to address your needs as a principal - it is not intended for staff wellbeing or general operating costs - so we recommend reconsidering this expenditure.</t>
  </si>
  <si>
    <t xml:space="preserve">It is not clear that this would directly benefit your health or wellbeing as a principal. We would be happy to talk this through with you before you proceed.</t>
  </si>
  <si>
    <t>Does this align with the priorities in the health and wellbeing strategies or panel service categories?</t>
  </si>
  <si>
    <t xml:space="preserve">It aligns with the priorities in the health and wellbeing strategies and the panel service categories (executive and leadership coaching, executive health assessment, and mental health support).</t>
  </si>
  <si>
    <t xml:space="preserve">It does not align with the priorities in the health and wellbeing strategies or the panel service categories, so we recommend reconsidering this expenditure.</t>
  </si>
  <si>
    <t xml:space="preserve">The alignment with the health and wellbeing strategies or the panel service categories is not clear - please check with us before proceeding.</t>
  </si>
  <si>
    <t xml:space="preserve">Would this expenditure uphold Department values and standards, as per the Integrity framework and Code of Conduct?</t>
  </si>
  <si>
    <t xml:space="preserve">The expenditure would uphold Department values and standards, in line with our Integrity framework and Code of Conduct (including Standard 8 - use public resources responsibly).</t>
  </si>
  <si>
    <t xml:space="preserve">The expenditure does not appear to uphold Department values and standards under the Integrity framework and Code of Conduct, so we recommend reconsidering it.</t>
  </si>
  <si>
    <t xml:space="preserve">It is not clear that the expenditure would uphold Department values and standards under the Integrity framework and Code of Conduct - please contact us before proceeding.</t>
  </si>
  <si>
    <t>Is the provider reputable, appropriately insured and qualified to deliver the service?</t>
  </si>
  <si>
    <t xml:space="preserve">The provider is reputable, appropriately insured and qualified to deliver the service.</t>
  </si>
  <si>
    <t xml:space="preserve">The provider's qualifications, insurance or reputation cannot be confirmed, so please do not proceed until this is resolved. Information about managing provider risks is available in the Develop a staff health and wellbeing plan Ikon service.</t>
  </si>
  <si>
    <t xml:space="preserve">The provider's qualifications, insurance or reputation have not yet been confirmed. Where relevant, check the Australian Health Practitioner Regulation Agency (AHPRA) register and confirm the provider's insurance before proceeding.</t>
  </si>
  <si>
    <t xml:space="preserve">Does this service meet a need that cannot be provided for by current Department programs or services?</t>
  </si>
  <si>
    <t xml:space="preserve">The service meets a need that current Department programs or services do not already provide for.</t>
  </si>
  <si>
    <t xml:space="preserve">Current Department programs or services already meet this need - for example, the Employee Assistance Program now provides up to 12 confidential counselling sessions per year. We recommend using the existing service.</t>
  </si>
  <si>
    <t xml:space="preserve">It is not clear whether current Department programs or services already meet this need. Please check the available services - including the Employee Assistance Program (up to 12 sessions per year) - before proceeding.</t>
  </si>
  <si>
    <t xml:space="preserve">Have all supplier-related conflicts of interest been identified, reported and appropriately managed (or do none apply)?</t>
  </si>
  <si>
    <t xml:space="preserve">All supplier-related conflicts of interest have been identified, reported and appropriately managed (or none apply).</t>
  </si>
  <si>
    <t xml:space="preserve">A supplier-related conflict of interest has not yet been reported or managed. Please report the conflict of interest before proceeding.</t>
  </si>
  <si>
    <t xml:space="preserve">A possible supplier-related conflict of interest has not been confirmed as managed. Please report and resolve this before proceeding.</t>
  </si>
  <si>
    <t xml:space="preserve">This service falls within the panel of wellbeing service providers' categories. Once the panel is live, we encourage engaging a provider through the panel; in the meantime, the principal wellbeing consultant can help you assess and access suitable services.</t>
  </si>
  <si>
    <t xml:space="preserve">This service sits outside the panel of wellbeing service providers. You can engage the provider through local procurement, following the rules for buying goods and services. For purchases under $50,000, the Buy goods and services under $50,000 Ikon service applies, and purchases of less than $5,000 are low-value procurements provided value for money has been considered.</t>
  </si>
  <si>
    <t xml:space="preserve">It is not yet clear whether this service aligns with the panel of wellbeing service providers. The panel is non-mandatory and local procurement remains available - please check with us if you are unsure.</t>
  </si>
  <si>
    <t xml:space="preserve">As the query involves travel or accommodation: the funding may be used for travel and accommodation where it is required to support access to an eligible principal wellbeing activity, in line with the Official Travel Policy and the associated Official Air Travel and Travel Accommodation, Meal and Other Expenses procedures. Travellers cannot approve their own travel - please seek approval from an Assistant Director of Education or above prior to booking. The funding is not intended to be used solely for travel or accommodation.</t>
  </si>
  <si>
    <t xml:space="preserve"/>
  </si>
  <si>
    <t>Common response overrides</t>
  </si>
  <si>
    <t>Selected option</t>
  </si>
  <si>
    <t>Selected response</t>
  </si>
  <si>
    <t xml:space="preserve">Edit the response names or the yellow response text below. These options appear as buttons on the common response override slicer on the Interactive triage tab.</t>
  </si>
  <si>
    <t>Clear the optional override slicer, or select “Use standard triage response”, to return to the question-based draft. If a new option does not appear immediately, save and reopen the workbook.</t>
  </si>
  <si>
    <t>Response option</t>
  </si>
  <si>
    <t>Draft email body — edit this yellow column</t>
  </si>
  <si>
    <t>Use standard triage response</t>
  </si>
  <si>
    <t>Treatment services / workers’ compensation</t>
  </si>
  <si>
    <t>Treatment services are not suitable expenditures under the Targeted Funding Initiative. Treatment for work-related pain or injury may be available through the workers’ compensation process and may include payment for expenses, loss of earnings or both.</t>
  </si>
  <si>
    <t>Leadership capability program</t>
  </si>
  <si>
    <t>The majority of the program focuses on enhancing leadership capability and includes wellbeing topics for executives.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</si>
</sst>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6"/>
      <color rgb="FFFFFFFF"/>
      <name val="Arial"/>
      <charset val="1"/>
    </font>
    <font>
      <i/>
      <sz val="10"/>
      <color rgb="FF404040"/>
      <name val="Arial"/>
      <charset val="1"/>
    </font>
    <font>
      <b/>
      <sz val="11"/>
      <color rgb="FF2E6E88"/>
      <name val="Arial"/>
      <charset val="1"/>
    </font>
    <font>
      <b/>
      <sz val="10"/>
      <color rgb="FF000000"/>
      <name val="Arial"/>
      <charset val="1"/>
    </font>
    <font>
      <b/>
      <sz val="12"/>
      <color rgb="FF2E6E88"/>
      <name val="Arial"/>
      <charset val="1"/>
    </font>
    <font>
      <b/>
      <sz val="10"/>
      <color rgb="FFFFFFFF"/>
      <name val="Arial"/>
      <charset val="1"/>
    </font>
    <font>
      <sz val="10"/>
      <color rgb="FF000000"/>
      <name val="Arial"/>
      <charset val="1"/>
    </font>
    <font>
      <u/>
      <sz val="10"/>
      <color rgb="FF0563C1"/>
      <name val="Arial"/>
      <charset val="1"/>
    </font>
    <font>
      <b/>
      <sz val="18"/>
      <color rgb="FFFFFFFF"/>
      <name val="Arial"/>
      <family val="2"/>
    </font>
    <font>
      <sz val="10"/>
      <color rgb="FF404040"/>
      <name val="Arial"/>
      <family val="2"/>
    </font>
    <font>
      <b/>
      <sz val="11"/>
      <color rgb="FFFFFFFF"/>
      <name val="Arial"/>
      <family val="2"/>
    </font>
    <font>
      <b/>
      <sz val="12"/>
      <color rgb="FF2E6E88"/>
      <name val="Arial"/>
      <family val="2"/>
    </font>
    <font>
      <sz val="10.5"/>
      <color rgb="FF202020"/>
      <name val="Arial"/>
      <family val="2"/>
    </font>
    <font>
      <b/>
      <sz val="10"/>
      <color rgb="FF2E6E88"/>
      <name val="Arial"/>
      <family val="2"/>
    </font>
    <font>
      <sz val="10"/>
      <color rgb="FF202020"/>
      <name val="Arial"/>
      <family val="2"/>
    </font>
    <font>
      <i/>
      <sz val="9"/>
      <color rgb="FF666666"/>
      <name val="Arial"/>
      <family val="2"/>
    </font>
  </fonts>
  <fills count="11">
    <fill>
      <patternFill patternType="none"/>
    </fill>
    <fill>
      <patternFill patternType="gray125"/>
    </fill>
    <fill>
      <patternFill patternType="solid">
        <fgColor rgb="FF3C8BAC"/>
        <bgColor rgb="FF3C8BAC"/>
      </patternFill>
    </fill>
    <fill>
      <patternFill patternType="solid">
        <fgColor rgb="FFFCEBC8"/>
        <bgColor rgb="FFF2F2F2"/>
      </patternFill>
    </fill>
    <fill>
      <patternFill patternType="solid">
        <fgColor rgb="FF51B3B4"/>
        <bgColor rgb="FF3C8BAC"/>
      </patternFill>
    </fill>
    <fill>
      <patternFill patternType="solid">
        <fgColor rgb="FFF2F2F2"/>
        <bgColor rgb="FFFFFFFF"/>
      </patternFill>
    </fill>
    <fill>
      <patternFill patternType="solid">
        <fgColor rgb="FF3C8BAC"/>
      </patternFill>
    </fill>
    <fill>
      <patternFill patternType="solid">
        <fgColor rgb="FFE6F4F3"/>
      </patternFill>
    </fill>
    <fill>
      <patternFill patternType="solid">
        <fgColor rgb="FF51B3B4"/>
      </patternFill>
    </fill>
    <fill>
      <patternFill patternType="solid">
        <fgColor rgb="FFFCEBC8"/>
      </patternFill>
    </fill>
    <fill>
      <patternFill patternType="solid">
        <fgColor rgb="FFF7F9F9"/>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7C9C8"/>
      </left>
      <right style="thin">
        <color rgb="FFB7C9C8"/>
      </right>
      <top style="thin">
        <color rgb="FFB7C9C8"/>
      </top>
      <bottom style="thin">
        <color rgb="FFB7C9C8"/>
      </bottom>
      <diagonal/>
    </border>
  </borders>
  <cellStyleXfs count="1">
    <xf numFmtId="0" fontId="0" fillId="0" borderId="0"/>
  </cellStyleXfs>
  <cellXfs count="25">
    <xf numFmtId="0" fontId="0" fillId="0" borderId="0" xfId="0"/>
    <xf numFmtId="0" fontId="3" fillId="0" borderId="0" xfId="0" applyFont="1"/>
    <xf numFmtId="0" fontId="4" fillId="0" borderId="0" xfId="0" applyFont="1" applyAlignment="1">
      <alignment vertical="center" wrapText="1"/>
    </xf>
    <xf numFmtId="0" fontId="0" fillId="3" borderId="1" xfId="0" applyFill="1" applyBorder="1" applyAlignment="1">
      <alignment horizontal="center" vertical="center"/>
    </xf>
    <xf numFmtId="0" fontId="6" fillId="4" borderId="0" xfId="0" applyFont="1" applyFill="1" applyAlignment="1">
      <alignment vertical="center"/>
    </xf>
    <xf numFmtId="0" fontId="7" fillId="0" borderId="0" xfId="0" applyFont="1" applyAlignment="1">
      <alignment vertical="top" wrapText="1"/>
    </xf>
    <xf numFmtId="0" fontId="7" fillId="0" borderId="0" xfId="0" applyFont="1" applyAlignment="1">
      <alignment horizontal="center" vertical="top"/>
    </xf>
    <xf numFmtId="0" fontId="6" fillId="4" borderId="0" xfId="0" applyFont="1" applyFill="1"/>
    <xf numFmtId="0" fontId="7" fillId="0" borderId="0" xfId="0" applyFont="1" applyAlignment="1">
      <alignment vertical="center" wrapText="1"/>
    </xf>
    <xf numFmtId="0" fontId="8" fillId="0" borderId="0" xfId="0" applyFont="1"/>
    <xf numFmtId="0" fontId="7" fillId="9" borderId="2" xfId="0" applyFont="1" applyFill="1" applyBorder="1" applyAlignment="1">
      <alignment vertical="top" wrapText="1"/>
    </xf>
    <xf numFmtId="0" fontId="16" fillId="0" borderId="0" xfId="0" applyFont="1" applyAlignment="1">
      <alignment horizontal="left" vertical="center" wrapText="1"/>
    </xf>
    <xf numFmtId="0" fontId="11" fillId="8" borderId="0" xfId="0" applyFont="1" applyFill="1" applyAlignment="1">
      <alignment horizontal="left" vertical="center"/>
    </xf>
    <xf numFmtId="0" fontId="14" fillId="0" borderId="0" xfId="0" applyFont="1" applyAlignment="1">
      <alignment horizontal="left" vertical="center"/>
    </xf>
    <xf numFmtId="0" fontId="15" fillId="9" borderId="2" xfId="0" applyFont="1" applyFill="1" applyBorder="1" applyAlignment="1">
      <alignment horizontal="left" vertical="center"/>
    </xf>
    <xf numFmtId="0" fontId="13" fillId="10" borderId="2" xfId="0" applyFont="1" applyFill="1" applyBorder="1" applyAlignment="1">
      <alignment horizontal="left" vertical="top" wrapText="1"/>
    </xf>
    <xf numFmtId="0" fontId="9" fillId="6" borderId="0" xfId="0" applyFont="1" applyFill="1" applyAlignment="1">
      <alignment horizontal="left" vertical="center"/>
    </xf>
    <xf numFmtId="0" fontId="10" fillId="7" borderId="2" xfId="0" applyFont="1" applyFill="1" applyBorder="1" applyAlignment="1">
      <alignment horizontal="left" vertical="center" wrapText="1"/>
    </xf>
    <xf numFmtId="0" fontId="12" fillId="9" borderId="2" xfId="0" applyFont="1" applyFill="1" applyBorder="1" applyAlignment="1">
      <alignment horizontal="left" vertical="top" wrapText="1"/>
    </xf>
    <xf numFmtId="0" fontId="1" fillId="2" borderId="0" xfId="0" applyFont="1" applyFill="1" applyAlignment="1">
      <alignment horizontal="left" vertical="center" indent="1"/>
    </xf>
    <xf numFmtId="0" fontId="2" fillId="0" borderId="0" xfId="0" applyFont="1" applyAlignment="1">
      <alignment vertical="top" wrapText="1"/>
    </xf>
    <xf numFmtId="0" fontId="2" fillId="0" borderId="0" xfId="0" applyFont="1" applyAlignment="1">
      <alignment wrapText="1"/>
    </xf>
    <xf numFmtId="0" fontId="5" fillId="0" borderId="0" xfId="0" applyFont="1" applyAlignment="1">
      <alignment vertical="top" wrapText="1"/>
    </xf>
    <xf numFmtId="0" fontId="7" fillId="5" borderId="0" xfId="0" applyFont="1" applyFill="1" applyAlignment="1">
      <alignment horizontal="left" vertical="top" wrapText="1"/>
    </xf>
    <xf numFmtId="0" fontId="0" fillId="0" borderId="0" xfId="0"/>
  </cellXfs>
  <cellStyles count="1">
    <cellStyle name="Normal" xfId="0" builtinId="0"/>
  </cellStyles>
  <dxfs count="4">
    <dxf>
      <font>
        <color rgb="FF1F6B6C"/>
      </font>
      <fill>
        <patternFill patternType="solid">
          <bgColor rgb="FFDCF0EF"/>
        </patternFill>
      </fill>
    </dxf>
    <dxf>
      <font>
        <color rgb="FF9C4511"/>
      </font>
      <fill>
        <patternFill patternType="solid">
          <bgColor rgb="FFFAE3D2"/>
        </patternFill>
      </fill>
    </dxf>
    <dxf>
      <font>
        <color rgb="FF8A6116"/>
      </font>
      <fill>
        <patternFill patternType="solid">
          <bgColor rgb="FFFCF0D2"/>
        </patternFill>
      </fill>
    </dxf>
    <dxf>
      <font>
        <color rgb="FF2E6E88"/>
      </font>
      <fill>
        <patternFill patternType="solid">
          <bgColor rgb="FFE1EFF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A78"/>
      <rgbColor rgb="FFBFBFBF"/>
      <rgbColor rgb="FF808080"/>
      <rgbColor rgb="FF9999FF"/>
      <rgbColor rgb="FF993366"/>
      <rgbColor rgb="FFFFF2CC"/>
      <rgbColor rgb="FFF2F2F2"/>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8720C"/>
      <rgbColor rgb="FF666699"/>
      <rgbColor rgb="FF969696"/>
      <rgbColor rgb="FF00524F"/>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drawings/drawing1.xml><?xml version="1.0" encoding="utf-8"?>
<xdr:wsDr xmlns:xdr="http://schemas.openxmlformats.org/drawingml/2006/spreadsheetDrawing" xmlns:a="http://schemas.openxmlformats.org/drawingml/2006/main">
  <xdr:twoCellAnchor>
    <xdr:from>
      <xdr:col>1</xdr:col>
      <xdr:colOff>0</xdr:colOff>
      <xdr:row>7</xdr:row>
      <xdr:rowOff>0</xdr:rowOff>
    </xdr:from>
    <xdr:to>
      <xdr:col>2</xdr:col>
      <xdr:colOff>666750</xdr:colOff>
      <xdr:row>12</xdr:row>
      <xdr:rowOff>171450</xdr:rowOff>
    </xdr:to>
    <mc:AlternateContent xmlns:mc="http://schemas.openxmlformats.org/markup-compatibility/2006" xmlns:sle15="http://schemas.microsoft.com/office/drawing/2012/slicer">
      <mc:Choice Requires="sle15">
        <xdr:graphicFrame macro="">
          <xdr:nvGraphicFramePr>
            <xdr:cNvPr id="2" name="Q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Q1"/>
            </a:graphicData>
          </a:graphic>
        </xdr:graphicFrame>
      </mc:Choice>
      <mc:Fallback xmlns="" xmlns:sle="http://schemas.microsoft.com/office/drawing/2010/slicer">
        <xdr:sp macro="" textlink="">
          <xdr:nvSpPr>
            <xdr:cNvPr id="2" name="" descr=""/>
            <xdr:cNvSpPr txBox="true"/>
          </xdr:nvSpPr>
          <xdr:spPr>
            <a:xfrm>
              <a:off x="2914650" y="152400"/>
              <a:ext cx="1828800" cy="2238375"/>
            </a:xfrm>
            <a:prstGeom prst="rect"/>
            <a:solidFill>
              <a:srgbClr val="FFFFFF"/>
            </a:solidFill>
            <a:ln w="1">
              <a:solidFill>
                <a:prstClr val="black"/>
              </a:solidFill>
            </a:ln>
          </xdr:spPr>
          <xdr:txBody>
            <a:bodyPr anchorCtr="false" rot="0" horzOverflow="clip" spcFirstLastPara="false" vertOverflow="clip"/>
            <a:p>
              <a:r>
                <a:rPr b="false" baseline="0" i="false" kern="0" spc="0"/>
                <a:t>This shape represents a table slicer. Table slicers are not supported in this version of Excel.</a:t>
              </a:r>
            </a:p>
            <a:p>
              <a:r>
                <a:rPr b="false" baseline="0" i="false" kern="0" spc="0"/>
                <a:t>If the shape was modified in an earlier version of Excel, or if the workbook was saved in Excel 2007 or earlier, the slicer can't be used.</a:t>
              </a:r>
            </a:p>
          </xdr:txBody>
        </xdr:sp>
      </mc:Fallback>
    </mc:AlternateContent>
    <xdr:clientData/>
  </xdr:twoCellAnchor>
  <xdr:twoCellAnchor>
    <xdr:from>
      <xdr:col>3</xdr:col>
      <xdr:colOff>0</xdr:colOff>
      <xdr:row>7</xdr:row>
      <xdr:rowOff>0</xdr:rowOff>
    </xdr:from>
    <xdr:to>
      <xdr:col>4</xdr:col>
      <xdr:colOff>666750</xdr:colOff>
      <xdr:row>12</xdr:row>
      <xdr:rowOff>171450</xdr:rowOff>
    </xdr:to>
    <mc:AlternateContent xmlns:mc="http://schemas.openxmlformats.org/markup-compatibility/2006" xmlns:sle15="http://schemas.microsoft.com/office/drawing/2012/slicer">
      <mc:Choice Requires="sle15">
        <xdr:graphicFrame macro="">
          <xdr:nvGraphicFramePr>
            <xdr:cNvPr id="3" name="Q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Q2"/>
            </a:graphicData>
          </a:graphic>
        </xdr:graphicFrame>
      </mc:Choice>
      <mc:Fallback xmlns="" xmlns:sle="http://schemas.microsoft.com/office/drawing/2010/slicer">
        <xdr:sp macro="" textlink="">
          <xdr:nvSpPr>
            <xdr:cNvPr id="3" name="" descr=""/>
            <xdr:cNvSpPr txBox="true"/>
          </xdr:nvSpPr>
          <xdr:spPr>
            <a:xfrm>
              <a:off x="2914650" y="152400"/>
              <a:ext cx="1828800" cy="2238375"/>
            </a:xfrm>
            <a:prstGeom prst="rect"/>
            <a:solidFill>
              <a:srgbClr val="FFFFFF"/>
            </a:solidFill>
            <a:ln w="1">
              <a:solidFill>
                <a:prstClr val="black"/>
              </a:solidFill>
            </a:ln>
          </xdr:spPr>
          <xdr:txBody>
            <a:bodyPr anchorCtr="false" rot="0" horzOverflow="clip" spcFirstLastPara="false" vertOverflow="clip"/>
            <a:p>
              <a:r>
                <a:rPr b="false" baseline="0" i="false" kern="0" spc="0"/>
                <a:t>This shape represents a table slicer. Table slicers are not supported in this version of Excel.</a:t>
              </a:r>
            </a:p>
            <a:p>
              <a:r>
                <a:rPr b="false" baseline="0" i="false" kern="0" spc="0"/>
                <a:t>If the shape was modified in an earlier version of Excel, or if the workbook was saved in Excel 2007 or earlier, the slicer can't be used.</a:t>
              </a:r>
            </a:p>
          </xdr:txBody>
        </xdr:sp>
      </mc:Fallback>
    </mc:AlternateContent>
    <xdr:clientData/>
  </xdr:twoCellAnchor>
  <xdr:twoCellAnchor>
    <xdr:from>
      <xdr:col>5</xdr:col>
      <xdr:colOff>0</xdr:colOff>
      <xdr:row>7</xdr:row>
      <xdr:rowOff>0</xdr:rowOff>
    </xdr:from>
    <xdr:to>
      <xdr:col>6</xdr:col>
      <xdr:colOff>666750</xdr:colOff>
      <xdr:row>12</xdr:row>
      <xdr:rowOff>171450</xdr:rowOff>
    </xdr:to>
    <mc:AlternateContent xmlns:mc="http://schemas.openxmlformats.org/markup-compatibility/2006" xmlns:sle15="http://schemas.microsoft.com/office/drawing/2012/slicer">
      <mc:Choice Requires="sle15">
        <xdr:graphicFrame macro="">
          <xdr:nvGraphicFramePr>
            <xdr:cNvPr id="4" name="Q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Q3"/>
            </a:graphicData>
          </a:graphic>
        </xdr:graphicFrame>
      </mc:Choice>
      <mc:Fallback xmlns="" xmlns:sle="http://schemas.microsoft.com/office/drawing/2010/slicer">
        <xdr:sp macro="" textlink="">
          <xdr:nvSpPr>
            <xdr:cNvPr id="4" name="" descr=""/>
            <xdr:cNvSpPr txBox="true"/>
          </xdr:nvSpPr>
          <xdr:spPr>
            <a:xfrm>
              <a:off x="2914650" y="152400"/>
              <a:ext cx="1828800" cy="2238375"/>
            </a:xfrm>
            <a:prstGeom prst="rect"/>
            <a:solidFill>
              <a:srgbClr val="FFFFFF"/>
            </a:solidFill>
            <a:ln w="1">
              <a:solidFill>
                <a:prstClr val="black"/>
              </a:solidFill>
            </a:ln>
          </xdr:spPr>
          <xdr:txBody>
            <a:bodyPr anchorCtr="false" rot="0" horzOverflow="clip" spcFirstLastPara="false" vertOverflow="clip"/>
            <a:p>
              <a:r>
                <a:rPr b="false" baseline="0" i="false" kern="0" spc="0"/>
                <a:t>This shape represents a table slicer. Table slicers are not supported in this version of Excel.</a:t>
              </a:r>
            </a:p>
            <a:p>
              <a:r>
                <a:rPr b="false" baseline="0" i="false" kern="0" spc="0"/>
                <a:t>If the shape was modified in an earlier version of Excel, or if the workbook was saved in Excel 2007 or earlier, the slicer can't be used.</a:t>
              </a:r>
            </a:p>
          </xdr:txBody>
        </xdr:sp>
      </mc:Fallback>
    </mc:AlternateContent>
    <xdr:clientData/>
  </xdr:twoCellAnchor>
  <xdr:twoCellAnchor>
    <xdr:from>
      <xdr:col>7</xdr:col>
      <xdr:colOff>0</xdr:colOff>
      <xdr:row>7</xdr:row>
      <xdr:rowOff>0</xdr:rowOff>
    </xdr:from>
    <xdr:to>
      <xdr:col>8</xdr:col>
      <xdr:colOff>666750</xdr:colOff>
      <xdr:row>12</xdr:row>
      <xdr:rowOff>171450</xdr:rowOff>
    </xdr:to>
    <mc:AlternateContent xmlns:mc="http://schemas.openxmlformats.org/markup-compatibility/2006" xmlns:sle15="http://schemas.microsoft.com/office/drawing/2012/slicer">
      <mc:Choice Requires="sle15">
        <xdr:graphicFrame macro="">
          <xdr:nvGraphicFramePr>
            <xdr:cNvPr id="5" name="Q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Q4"/>
            </a:graphicData>
          </a:graphic>
        </xdr:graphicFrame>
      </mc:Choice>
      <mc:Fallback xmlns="" xmlns:sle="http://schemas.microsoft.com/office/drawing/2010/slicer">
        <xdr:sp macro="" textlink="">
          <xdr:nvSpPr>
            <xdr:cNvPr id="5" name="" descr=""/>
            <xdr:cNvSpPr txBox="true"/>
          </xdr:nvSpPr>
          <xdr:spPr>
            <a:xfrm>
              <a:off x="2914650" y="152400"/>
              <a:ext cx="1828800" cy="2238375"/>
            </a:xfrm>
            <a:prstGeom prst="rect"/>
            <a:solidFill>
              <a:srgbClr val="FFFFFF"/>
            </a:solidFill>
            <a:ln w="1">
              <a:solidFill>
                <a:prstClr val="black"/>
              </a:solidFill>
            </a:ln>
          </xdr:spPr>
          <xdr:txBody>
            <a:bodyPr anchorCtr="false" rot="0" horzOverflow="clip" spcFirstLastPara="false" vertOverflow="clip"/>
            <a:p>
              <a:r>
                <a:rPr b="false" baseline="0" i="false" kern="0" spc="0"/>
                <a:t>This shape represents a table slicer. Table slicers are not supported in this version of Excel.</a:t>
              </a:r>
            </a:p>
            <a:p>
              <a:r>
                <a:rPr b="false" baseline="0" i="false" kern="0" spc="0"/>
                <a:t>If the shape was modified in an earlier version of Excel, or if the workbook was saved in Excel 2007 or earlier, the slicer can't be used.</a:t>
              </a:r>
            </a:p>
          </xdr:txBody>
        </xdr:sp>
      </mc:Fallback>
    </mc:AlternateContent>
    <xdr:clientData/>
  </xdr:twoCellAnchor>
  <xdr:twoCellAnchor>
    <xdr:from>
      <xdr:col>1</xdr:col>
      <xdr:colOff>0</xdr:colOff>
      <xdr:row>16</xdr:row>
      <xdr:rowOff>0</xdr:rowOff>
    </xdr:from>
    <xdr:to>
      <xdr:col>2</xdr:col>
      <xdr:colOff>666750</xdr:colOff>
      <xdr:row>21</xdr:row>
      <xdr:rowOff>171450</xdr:rowOff>
    </xdr:to>
    <mc:AlternateContent xmlns:mc="http://schemas.openxmlformats.org/markup-compatibility/2006" xmlns:sle15="http://schemas.microsoft.com/office/drawing/2012/slicer">
      <mc:Choice Requires="sle15">
        <xdr:graphicFrame macro="">
          <xdr:nvGraphicFramePr>
            <xdr:cNvPr id="6" name="Q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Q5"/>
            </a:graphicData>
          </a:graphic>
        </xdr:graphicFrame>
      </mc:Choice>
      <mc:Fallback xmlns="" xmlns:sle="http://schemas.microsoft.com/office/drawing/2010/slicer">
        <xdr:sp macro="" textlink="">
          <xdr:nvSpPr>
            <xdr:cNvPr id="6" name="" descr=""/>
            <xdr:cNvSpPr txBox="true"/>
          </xdr:nvSpPr>
          <xdr:spPr>
            <a:xfrm>
              <a:off x="2914650" y="152400"/>
              <a:ext cx="1828800" cy="2238375"/>
            </a:xfrm>
            <a:prstGeom prst="rect"/>
            <a:solidFill>
              <a:srgbClr val="FFFFFF"/>
            </a:solidFill>
            <a:ln w="1">
              <a:solidFill>
                <a:prstClr val="black"/>
              </a:solidFill>
            </a:ln>
          </xdr:spPr>
          <xdr:txBody>
            <a:bodyPr anchorCtr="false" rot="0" horzOverflow="clip" spcFirstLastPara="false" vertOverflow="clip"/>
            <a:p>
              <a:r>
                <a:rPr b="false" baseline="0" i="false" kern="0" spc="0"/>
                <a:t>This shape represents a table slicer. Table slicers are not supported in this version of Excel.</a:t>
              </a:r>
            </a:p>
            <a:p>
              <a:r>
                <a:rPr b="false" baseline="0" i="false" kern="0" spc="0"/>
                <a:t>If the shape was modified in an earlier version of Excel, or if the workbook was saved in Excel 2007 or earlier, the slicer can't be used.</a:t>
              </a:r>
            </a:p>
          </xdr:txBody>
        </xdr:sp>
      </mc:Fallback>
    </mc:AlternateContent>
    <xdr:clientData/>
  </xdr:twoCellAnchor>
  <xdr:twoCellAnchor>
    <xdr:from>
      <xdr:col>3</xdr:col>
      <xdr:colOff>0</xdr:colOff>
      <xdr:row>16</xdr:row>
      <xdr:rowOff>0</xdr:rowOff>
    </xdr:from>
    <xdr:to>
      <xdr:col>4</xdr:col>
      <xdr:colOff>666750</xdr:colOff>
      <xdr:row>21</xdr:row>
      <xdr:rowOff>171450</xdr:rowOff>
    </xdr:to>
    <mc:AlternateContent xmlns:mc="http://schemas.openxmlformats.org/markup-compatibility/2006" xmlns:sle15="http://schemas.microsoft.com/office/drawing/2012/slicer">
      <mc:Choice Requires="sle15">
        <xdr:graphicFrame macro="">
          <xdr:nvGraphicFramePr>
            <xdr:cNvPr id="7" name="Q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Q6"/>
            </a:graphicData>
          </a:graphic>
        </xdr:graphicFrame>
      </mc:Choice>
      <mc:Fallback xmlns="" xmlns:sle="http://schemas.microsoft.com/office/drawing/2010/slicer">
        <xdr:sp macro="" textlink="">
          <xdr:nvSpPr>
            <xdr:cNvPr id="7" name="" descr=""/>
            <xdr:cNvSpPr txBox="true"/>
          </xdr:nvSpPr>
          <xdr:spPr>
            <a:xfrm>
              <a:off x="2914650" y="152400"/>
              <a:ext cx="1828800" cy="2238375"/>
            </a:xfrm>
            <a:prstGeom prst="rect"/>
            <a:solidFill>
              <a:srgbClr val="FFFFFF"/>
            </a:solidFill>
            <a:ln w="1">
              <a:solidFill>
                <a:prstClr val="black"/>
              </a:solidFill>
            </a:ln>
          </xdr:spPr>
          <xdr:txBody>
            <a:bodyPr anchorCtr="false" rot="0" horzOverflow="clip" spcFirstLastPara="false" vertOverflow="clip"/>
            <a:p>
              <a:r>
                <a:rPr b="false" baseline="0" i="false" kern="0" spc="0"/>
                <a:t>This shape represents a table slicer. Table slicers are not supported in this version of Excel.</a:t>
              </a:r>
            </a:p>
            <a:p>
              <a:r>
                <a:rPr b="false" baseline="0" i="false" kern="0" spc="0"/>
                <a:t>If the shape was modified in an earlier version of Excel, or if the workbook was saved in Excel 2007 or earlier, the slicer can't be used.</a:t>
              </a:r>
            </a:p>
          </xdr:txBody>
        </xdr:sp>
      </mc:Fallback>
    </mc:AlternateContent>
    <xdr:clientData/>
  </xdr:twoCellAnchor>
  <xdr:twoCellAnchor>
    <xdr:from>
      <xdr:col>5</xdr:col>
      <xdr:colOff>0</xdr:colOff>
      <xdr:row>16</xdr:row>
      <xdr:rowOff>0</xdr:rowOff>
    </xdr:from>
    <xdr:to>
      <xdr:col>6</xdr:col>
      <xdr:colOff>666750</xdr:colOff>
      <xdr:row>21</xdr:row>
      <xdr:rowOff>171450</xdr:rowOff>
    </xdr:to>
    <mc:AlternateContent xmlns:mc="http://schemas.openxmlformats.org/markup-compatibility/2006" xmlns:sle15="http://schemas.microsoft.com/office/drawing/2012/slicer">
      <mc:Choice Requires="sle15">
        <xdr:graphicFrame macro="">
          <xdr:nvGraphicFramePr>
            <xdr:cNvPr id="8" name="Panel">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Panel"/>
            </a:graphicData>
          </a:graphic>
        </xdr:graphicFrame>
      </mc:Choice>
      <mc:Fallback xmlns="" xmlns:sle="http://schemas.microsoft.com/office/drawing/2010/slicer">
        <xdr:sp macro="" textlink="">
          <xdr:nvSpPr>
            <xdr:cNvPr id="8" name="" descr=""/>
            <xdr:cNvSpPr txBox="true"/>
          </xdr:nvSpPr>
          <xdr:spPr>
            <a:xfrm>
              <a:off x="2914650" y="152400"/>
              <a:ext cx="1828800" cy="2238375"/>
            </a:xfrm>
            <a:prstGeom prst="rect"/>
            <a:solidFill>
              <a:srgbClr val="FFFFFF"/>
            </a:solidFill>
            <a:ln w="1">
              <a:solidFill>
                <a:prstClr val="black"/>
              </a:solidFill>
            </a:ln>
          </xdr:spPr>
          <xdr:txBody>
            <a:bodyPr anchorCtr="false" rot="0" horzOverflow="clip" spcFirstLastPara="false" vertOverflow="clip"/>
            <a:p>
              <a:r>
                <a:rPr b="false" baseline="0" i="false" kern="0" spc="0"/>
                <a:t>This shape represents a table slicer. Table slicers are not supported in this version of Excel.</a:t>
              </a:r>
            </a:p>
            <a:p>
              <a:r>
                <a:rPr b="false" baseline="0" i="false" kern="0" spc="0"/>
                <a:t>If the shape was modified in an earlier version of Excel, or if the workbook was saved in Excel 2007 or earlier, the slicer can't be used.</a:t>
              </a:r>
            </a:p>
          </xdr:txBody>
        </xdr:sp>
      </mc:Fallback>
    </mc:AlternateContent>
    <xdr:clientData/>
  </xdr:twoCellAnchor>
  <xdr:twoCellAnchor>
    <xdr:from>
      <xdr:col>7</xdr:col>
      <xdr:colOff>0</xdr:colOff>
      <xdr:row>16</xdr:row>
      <xdr:rowOff>0</xdr:rowOff>
    </xdr:from>
    <xdr:to>
      <xdr:col>8</xdr:col>
      <xdr:colOff>666750</xdr:colOff>
      <xdr:row>21</xdr:row>
      <xdr:rowOff>171450</xdr:rowOff>
    </xdr:to>
    <mc:AlternateContent xmlns:mc="http://schemas.openxmlformats.org/markup-compatibility/2006" xmlns:sle15="http://schemas.microsoft.com/office/drawing/2012/slicer">
      <mc:Choice Requires="sle15">
        <xdr:graphicFrame macro="">
          <xdr:nvGraphicFramePr>
            <xdr:cNvPr id="9" name="Travel">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Travel"/>
            </a:graphicData>
          </a:graphic>
        </xdr:graphicFrame>
      </mc:Choice>
      <mc:Fallback xmlns="" xmlns:sle="http://schemas.microsoft.com/office/drawing/2010/slicer">
        <xdr:sp macro="" textlink="">
          <xdr:nvSpPr>
            <xdr:cNvPr id="9" name="" descr=""/>
            <xdr:cNvSpPr txBox="true"/>
          </xdr:nvSpPr>
          <xdr:spPr>
            <a:xfrm>
              <a:off x="2914650" y="152400"/>
              <a:ext cx="1828800" cy="2238375"/>
            </a:xfrm>
            <a:prstGeom prst="rect"/>
            <a:solidFill>
              <a:srgbClr val="FFFFFF"/>
            </a:solidFill>
            <a:ln w="1">
              <a:solidFill>
                <a:prstClr val="black"/>
              </a:solidFill>
            </a:ln>
          </xdr:spPr>
          <xdr:txBody>
            <a:bodyPr anchorCtr="false" rot="0" horzOverflow="clip" spcFirstLastPara="false" vertOverflow="clip"/>
            <a:p>
              <a:r>
                <a:rPr b="false" baseline="0" i="false" kern="0" spc="0"/>
                <a:t>This shape represents a table slicer. Table slicers are not supported in this version of Excel.</a:t>
              </a:r>
            </a:p>
            <a:p>
              <a:r>
                <a:rPr b="false" baseline="0" i="false" kern="0" spc="0"/>
                <a:t>If the shape was modified in an earlier version of Excel, or if the workbook was saved in Excel 2007 or earlier, the slicer can't be used.</a:t>
              </a:r>
            </a:p>
          </xdr:txBody>
        </xdr:sp>
      </mc:Fallback>
    </mc:AlternateContent>
    <xdr:clientData/>
  </xdr:twoCellAnchor>
  <xdr:twoCellAnchor>
    <xdr:from>
      <xdr:col>1</xdr:col>
      <xdr:colOff>0</xdr:colOff>
      <xdr:row>22</xdr:row>
      <xdr:rowOff>0</xdr:rowOff>
    </xdr:from>
    <xdr:to>
      <xdr:col>8</xdr:col>
      <xdr:colOff>666750</xdr:colOff>
      <xdr:row>25</xdr:row>
      <xdr:rowOff>171450</xdr:rowOff>
    </xdr:to>
    <mc:AlternateContent xmlns:mc="http://schemas.openxmlformats.org/markup-compatibility/2006" xmlns:sle15="http://schemas.microsoft.com/office/drawing/2012/slicer">
      <mc:Choice Requires="sle15">
        <xdr:graphicFrame macro="">
          <xdr:nvGraphicFramePr>
            <xdr:cNvPr id="10" name="CommonResponse">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CommonResponse"/>
            </a:graphicData>
          </a:graphic>
        </xdr:graphicFrame>
      </mc:Choice>
      <mc:Fallback xmlns="" xmlns:sle="http://schemas.microsoft.com/office/drawing/2010/slicer">
        <xdr:sp macro="" textlink="">
          <xdr:nvSpPr>
            <xdr:cNvPr id="10" name="" descr=""/>
            <xdr:cNvSpPr txBox="true"/>
          </xdr:nvSpPr>
          <xdr:spPr>
            <a:xfrm>
              <a:off x="2914650" y="152400"/>
              <a:ext cx="1828800" cy="2238375"/>
            </a:xfrm>
            <a:prstGeom prst="rect"/>
            <a:solidFill>
              <a:srgbClr val="FFFFFF"/>
            </a:solidFill>
            <a:ln w="1">
              <a:solidFill>
                <a:prstClr val="black"/>
              </a:solidFill>
            </a:ln>
          </xdr:spPr>
          <xdr:txBody>
            <a:bodyPr anchorCtr="false" rot="0" horzOverflow="clip" spcFirstLastPara="false" vertOverflow="clip"/>
            <a:p>
              <a:r>
                <a:rPr b="false" baseline="0" i="false" kern="0" spc="0"/>
                <a:t>This shape represents a table slicer. Table slicers are not supported in this version of Excel.</a:t>
              </a:r>
            </a:p>
            <a:p>
              <a:r>
                <a:rPr b="false" baseline="0" i="false" kern="0" spc="0"/>
                <a:t>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1" xr10:uid="{00000000-0013-0000-FFFF-FFFF01000000}" sourceName="Q1">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2" xr10:uid="{00000000-0013-0000-FFFF-FFFF02000000}" sourceName="Q2">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3" xr10:uid="{00000000-0013-0000-FFFF-FFFF03000000}" sourceName="Q3">
  <extLst>
    <x:ext xmlns:x15="http://schemas.microsoft.com/office/spreadsheetml/2010/11/main" uri="{2F2917AC-EB37-4324-AD4E-5DD8C200BD13}">
      <x15:tableSlicerCache tableId="3"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4" xr10:uid="{00000000-0013-0000-FFFF-FFFF04000000}" sourceName="Q4">
  <extLst>
    <x:ext xmlns:x15="http://schemas.microsoft.com/office/spreadsheetml/2010/11/main" uri="{2F2917AC-EB37-4324-AD4E-5DD8C200BD13}">
      <x15:tableSlicerCache tableId="4"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5" xr10:uid="{00000000-0013-0000-FFFF-FFFF05000000}" sourceName="Q5">
  <extLst>
    <x:ext xmlns:x15="http://schemas.microsoft.com/office/spreadsheetml/2010/11/main" uri="{2F2917AC-EB37-4324-AD4E-5DD8C200BD13}">
      <x15:tableSlicerCache tableId="5"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6" xr10:uid="{00000000-0013-0000-FFFF-FFFF06000000}" sourceName="Q6">
  <extLst>
    <x:ext xmlns:x15="http://schemas.microsoft.com/office/spreadsheetml/2010/11/main" uri="{2F2917AC-EB37-4324-AD4E-5DD8C200BD13}">
      <x15:tableSlicerCache tableId="6" column="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nel" xr10:uid="{00000000-0013-0000-FFFF-FFFF07000000}" sourceName="Panel">
  <extLst>
    <x:ext xmlns:x15="http://schemas.microsoft.com/office/spreadsheetml/2010/11/main" uri="{2F2917AC-EB37-4324-AD4E-5DD8C200BD13}">
      <x15:tableSlicerCache tableId="7"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vel" xr10:uid="{00000000-0013-0000-FFFF-FFFF08000000}" sourceName="Travel">
  <extLst>
    <x:ext xmlns:x15="http://schemas.microsoft.com/office/spreadsheetml/2010/11/main" uri="{2F2917AC-EB37-4324-AD4E-5DD8C200BD13}">
      <x15:tableSlicerCache tableId="8" column="1"/>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nResponse" xr10:uid="{00000000-0013-0000-FFFF-FFFF09000000}" sourceName="Response option">
  <extLst>
    <x:ext xmlns:x15="http://schemas.microsoft.com/office/spreadsheetml/2010/11/main" uri="{2F2917AC-EB37-4324-AD4E-5DD8C200BD13}">
      <x15:tableSlicerCache tableId="9"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1" xr10:uid="{00000000-0014-0000-FFFF-FFFF01000000}" cache="Slicer_Q1" caption="Q1 – Direct wellbeing benefit" rowHeight="251883"/>
  <slicer name="Q2" xr10:uid="{00000000-0014-0000-FFFF-FFFF02000000}" cache="Slicer_Q2" caption="Q2 – Strategy / panel alignment" rowHeight="251883"/>
  <slicer name="Q3" xr10:uid="{00000000-0014-0000-FFFF-FFFF03000000}" cache="Slicer_Q3" caption="Q3 – Values and integrity" rowHeight="251883"/>
  <slicer name="Q4" xr10:uid="{00000000-0014-0000-FFFF-FFFF04000000}" cache="Slicer_Q4" caption="Q4 – Provider suitability" rowHeight="251883"/>
  <slicer name="Q5" xr10:uid="{00000000-0014-0000-FFFF-FFFF05000000}" cache="Slicer_Q5" caption="Q5 – Need not met internally" rowHeight="251883"/>
  <slicer name="Q6" xr10:uid="{00000000-0014-0000-FFFF-FFFF06000000}" cache="Slicer_Q6" caption="Q6 – Conflicts managed" rowHeight="251883"/>
  <slicer name="Panel" xr10:uid="{00000000-0014-0000-FFFF-FFFF07000000}" cache="Slicer_Panel" caption="Panel – Listed provider" rowHeight="251883"/>
  <slicer name="Travel" xr10:uid="{00000000-0014-0000-FFFF-FFFF08000000}" cache="Slicer_Travel" caption="Travel / accommodation" rowHeight="251883"/>
  <slicer name="CommonResponse" xr10:uid="{00000000-0014-0000-FFFF-FFFF09000000}" cache="Slicer_CommonResponse" caption="Optional override — common response" columnCoun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1SlicerSource" displayName="Q1SlicerSource" ref="A1:B4" totalsRowShown="0">
  <autoFilter ref="A1:B4" xr:uid="{00000000-0009-0000-0100-000001000000}"/>
  <tableColumns count="2">
    <tableColumn id="1" xr3:uid="{00000000-0010-0000-0000-000001000000}" name="Q1"/>
    <tableColumn id="2" xr3:uid="{00000000-0010-0000-0000-000002000000}" name="Visible row"/>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2SlicerSource" displayName="Q2SlicerSource" ref="A6:B9" totalsRowShown="0">
  <autoFilter ref="A6:B9" xr:uid="{00000000-0009-0000-0100-000002000000}"/>
  <tableColumns count="2">
    <tableColumn id="1" xr3:uid="{00000000-0010-0000-0100-000001000000}" name="Q2"/>
    <tableColumn id="2" xr3:uid="{00000000-0010-0000-0100-000002000000}" name="Visible row"/>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3SlicerSource" displayName="Q3SlicerSource" ref="A11:B14" totalsRowShown="0">
  <autoFilter ref="A11:B14" xr:uid="{00000000-0009-0000-0100-000003000000}"/>
  <tableColumns count="2">
    <tableColumn id="1" xr3:uid="{00000000-0010-0000-0200-000001000000}" name="Q3"/>
    <tableColumn id="2" xr3:uid="{00000000-0010-0000-0200-000002000000}" name="Visible row"/>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Q4SlicerSource" displayName="Q4SlicerSource" ref="A16:B19" totalsRowShown="0">
  <autoFilter ref="A16:B19" xr:uid="{00000000-0009-0000-0100-000004000000}"/>
  <tableColumns count="2">
    <tableColumn id="1" xr3:uid="{00000000-0010-0000-0300-000001000000}" name="Q4"/>
    <tableColumn id="2" xr3:uid="{00000000-0010-0000-0300-000002000000}" name="Visible row"/>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Q5SlicerSource" displayName="Q5SlicerSource" ref="A21:B24" totalsRowShown="0">
  <autoFilter ref="A21:B24" xr:uid="{00000000-0009-0000-0100-000005000000}"/>
  <tableColumns count="2">
    <tableColumn id="1" xr3:uid="{00000000-0010-0000-0400-000001000000}" name="Q5"/>
    <tableColumn id="2" xr3:uid="{00000000-0010-0000-0400-000002000000}" name="Visible row"/>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Q6SlicerSource" displayName="Q6SlicerSource" ref="A26:B29" totalsRowShown="0">
  <autoFilter ref="A26:B29" xr:uid="{00000000-0009-0000-0100-000006000000}"/>
  <tableColumns count="2">
    <tableColumn id="1" xr3:uid="{00000000-0010-0000-0500-000001000000}" name="Q6"/>
    <tableColumn id="2" xr3:uid="{00000000-0010-0000-0500-000002000000}" name="Visible row"/>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anelSlicerSource" displayName="PanelSlicerSource" ref="A31:B34" totalsRowShown="0">
  <autoFilter ref="A31:B34" xr:uid="{00000000-0009-0000-0100-000007000000}"/>
  <tableColumns count="2">
    <tableColumn id="1" xr3:uid="{00000000-0010-0000-0600-000001000000}" name="Panel"/>
    <tableColumn id="2" xr3:uid="{00000000-0010-0000-0600-000002000000}" name="Visible row"/>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ravelSlicerSource" displayName="TravelSlicerSource" ref="A36:B39" totalsRowShown="0">
  <autoFilter ref="A36:B39" xr:uid="{00000000-0009-0000-0100-000008000000}"/>
  <tableColumns count="2">
    <tableColumn id="1" xr3:uid="{00000000-0010-0000-0700-000001000000}" name="Travel"/>
    <tableColumn id="2" xr3:uid="{00000000-0010-0000-0700-000002000000}" name="Visible row"/>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resetResponses" displayName="PresetResponses" ref="A5:C14" totalsRowShown="0">
  <autoFilter ref="A5:C14" xr:uid="{00000000-0009-0000-0100-000009000000}"/>
  <tableColumns count="3">
    <tableColumn id="1" xr3:uid="{00000000-0010-0000-0800-000001000000}" name="Response option"/>
    <tableColumn id="2" xr3:uid="{00000000-0010-0000-0800-000002000000}" name="Draft email body"/>
    <tableColumn id="3" xr3:uid="{00000000-0010-0000-0800-000003000000}" name="Visible row"/>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3C8BAC"/>
      </a:accent1>
      <a:accent2>
        <a:srgbClr val="51B3B4"/>
      </a:accent2>
      <a:accent3>
        <a:srgbClr val="E5803A"/>
      </a:accent3>
      <a:accent4>
        <a:srgbClr val="F4C55B"/>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hyperlink" Target="https://ikon.education.wa.edu.au/-/buy-goods-and-services-under-50-000" TargetMode="External"/><Relationship Id="rId3" Type="http://schemas.openxmlformats.org/officeDocument/2006/relationships/hyperlink" Target="https://ikon.education.wa.edu.au/-/integrity-framework/" TargetMode="External"/><Relationship Id="rId7" Type="http://schemas.openxmlformats.org/officeDocument/2006/relationships/hyperlink" Target="https://www.ahpra.gov.au/" TargetMode="External"/><Relationship Id="rId12" Type="http://schemas.openxmlformats.org/officeDocument/2006/relationships/hyperlink" Target="https://connect.det.wa.edu.au/group/staff/ui/community/summary?coisp=DomainCommunity:6697628811" TargetMode="External"/><Relationship Id="rId2" Type="http://schemas.openxmlformats.org/officeDocument/2006/relationships/hyperlink" Target="https://ikon.education.wa.edu.au/-/examples-of-using-the-decision-making-framework-for-wellbeing-expenditure-decisions/" TargetMode="External"/><Relationship Id="rId1" Type="http://schemas.openxmlformats.org/officeDocument/2006/relationships/hyperlink" Target="https://ikon.education.wa.edu.au/-/spend-principal-wellbeing-targeted-funding" TargetMode="External"/><Relationship Id="rId6" Type="http://schemas.openxmlformats.org/officeDocument/2006/relationships/hyperlink" Target="https://ikon.education.wa.edu.au/-/access-the-employee-assistance-program" TargetMode="External"/><Relationship Id="rId11" Type="http://schemas.openxmlformats.org/officeDocument/2006/relationships/hyperlink" Target="https://ikon.education.wa.edu.au/-/manage-accounting-records" TargetMode="External"/><Relationship Id="rId5" Type="http://schemas.openxmlformats.org/officeDocument/2006/relationships/hyperlink" Target="https://ikon.education.wa.edu.au/-/declare-a-conflict-of-interest" TargetMode="External"/><Relationship Id="rId10" Type="http://schemas.openxmlformats.org/officeDocument/2006/relationships/hyperlink" Target="https://www.education.wa.edu.au/web/policies/-/official-travel-policy" TargetMode="External"/><Relationship Id="rId4" Type="http://schemas.openxmlformats.org/officeDocument/2006/relationships/hyperlink" Target="https://ikon.education.wa.edu.au/-/our-code-of-conduct-and-standards/" TargetMode="External"/><Relationship Id="rId9" Type="http://schemas.openxmlformats.org/officeDocument/2006/relationships/hyperlink" Target="https://ikon.education.wa.edu.au/-/follow-rules-for-buying-goods-and-services" TargetMode="External"/><Relationship Id="rId13" Type="http://schemas.openxmlformats.org/officeDocument/2006/relationships/hyperlink" Target="https://www.education.wa.edu.au/web/policies/-/official-air-travel-procedures" TargetMode="External"/><Relationship Id="rId14" Type="http://schemas.openxmlformats.org/officeDocument/2006/relationships/hyperlink" Target="https://www.education.wa.edu.au/web/policies/-/travel-accommodation-meal-and-other-expenses-procedures" TargetMode="External"/><Relationship Id="rId15" Type="http://schemas.openxmlformats.org/officeDocument/2006/relationships/hyperlink" Target="https://www.tenders.wa.gov.au/"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C8BAC"/>
  </sheetPr>
  <dimension ref="B2:I55"/>
  <sheetViews>
    <sheetView showGridLines="0" tabSelected="1" zoomScale="90" workbookViewId="0">
      <pane ySplit="7" topLeftCell="A8" activePane="bottomLeft" state="frozen"/>
      <selection pane="bottomLeft" activeCell="B8" sqref="B8"/>
    </sheetView>
  </sheetViews>
  <sheetFormatPr defaultRowHeight="15" x14ac:dyDescent="0.25"/>
  <cols>
    <col min="1" max="1" width="2.42578125" customWidth="1"/>
    <col min="2" max="9" width="13.42578125" customWidth="1"/>
    <col min="10" max="10" width="2.42578125" customWidth="1"/>
  </cols>
  <sheetData>
    <row r="2" spans="2:9" ht="24" customHeight="1" x14ac:dyDescent="0.25">
      <c r="B2" s="16" t="s">
        <v>53</v>
      </c>
      <c r="C2" s="16"/>
      <c r="D2" s="16"/>
      <c r="E2" s="16"/>
      <c r="F2" s="16"/>
      <c r="G2" s="16"/>
      <c r="H2" s="16"/>
      <c r="I2" s="16"/>
    </row>
    <row r="3" spans="2:9" ht="18" customHeight="1" x14ac:dyDescent="0.25">
      <c r="B3" s="16"/>
      <c r="C3" s="16"/>
      <c r="D3" s="16"/>
      <c r="E3" s="16"/>
      <c r="F3" s="16"/>
      <c r="G3" s="16"/>
      <c r="H3" s="16"/>
      <c r="I3" s="16"/>
    </row>
    <row r="4" spans="2:9" ht="26.1" customHeight="1" x14ac:dyDescent="0.25">
      <c r="B4" s="17" t="s">
        <v>60</v>
      </c>
      <c r="C4" s="17"/>
      <c r="D4" s="17"/>
      <c r="E4" s="17"/>
      <c r="F4" s="17"/>
      <c r="G4" s="17"/>
      <c r="H4" s="17"/>
      <c r="I4" s="17"/>
    </row>
    <row r="5" spans="2:9" ht="20.100000000000001" customHeight="1" x14ac:dyDescent="0.25">
      <c r="B5" s="17"/>
      <c r="C5" s="17"/>
      <c r="D5" s="17"/>
      <c r="E5" s="17"/>
      <c r="F5" s="17"/>
      <c r="G5" s="17"/>
      <c r="H5" s="17"/>
      <c r="I5" s="17"/>
    </row>
    <row r="7" spans="2:9" ht="21.95" customHeight="1" x14ac:dyDescent="0.25">
      <c r="B7" s="12" t="s">
        <v>54</v>
      </c>
      <c r="C7" s="12"/>
      <c r="D7" s="12"/>
      <c r="E7" s="12"/>
      <c r="F7" s="12"/>
      <c r="G7" s="12"/>
      <c r="H7" s="12"/>
      <c r="I7" s="12"/>
    </row>
    <row r="8" spans="2:9" ht="18" customHeight="1" x14ac:dyDescent="0.25"/>
    <row r="9" spans="2:9" ht="18" customHeight="1" x14ac:dyDescent="0.25"/>
    <row r="10" spans="2:9" ht="18" customHeight="1" x14ac:dyDescent="0.25"/>
    <row r="11" spans="2:9" ht="18" customHeight="1" x14ac:dyDescent="0.25"/>
    <row r="12" spans="2:9" ht="18" customHeight="1" x14ac:dyDescent="0.25"/>
    <row r="13" spans="2:9" ht="18" customHeight="1" x14ac:dyDescent="0.25"/>
    <row r="14" spans="2:9" ht="18" customHeight="1" x14ac:dyDescent="0.25"/>
    <row r="15" spans="2:9" ht="18" customHeight="1" x14ac:dyDescent="0.25"/>
    <row r="16" spans="2:9" ht="18" customHeight="1" x14ac:dyDescent="0.25"/>
    <row r="17" spans="2:9" ht="18" customHeight="1" x14ac:dyDescent="0.25"/>
    <row r="18" spans="2:9" ht="18" customHeight="1" x14ac:dyDescent="0.25"/>
    <row r="19" spans="2:9" ht="18" customHeight="1" x14ac:dyDescent="0.25"/>
    <row r="20" spans="2:9" ht="18" customHeight="1" x14ac:dyDescent="0.25"/>
    <row r="21" spans="2:9" ht="18" customHeight="1" x14ac:dyDescent="0.25"/>
    <row r="22" spans="2:9" ht="18" customHeight="1" x14ac:dyDescent="0.25"/>
    <row r="23" spans="2:9" ht="26.25" customHeight="1" x14ac:dyDescent="0.25"/>
    <row r="24" spans="2:9" ht="26.25" customHeight="1" x14ac:dyDescent="0.25"/>
    <row r="25" spans="2:9" ht="26.25" customHeight="1" x14ac:dyDescent="0.25"/>
    <row r="27" spans="2:9" ht="21.95" customHeight="1" x14ac:dyDescent="0.25">
      <c r="B27" s="12" t="s">
        <v>55</v>
      </c>
      <c r="C27" s="12"/>
      <c r="D27" s="12"/>
      <c r="E27" s="12"/>
      <c r="F27" s="12"/>
      <c r="G27" s="12"/>
      <c r="H27" s="12"/>
      <c r="I27" s="12"/>
    </row>
    <row r="28" spans="2:9" ht="24" customHeight="1" x14ac:dyDescent="0.25">
      <c r="B28" s="18" t="str">
        <f>IF('Preset responses'!$F$2&lt;&gt;"","Common response override selected: "&amp;'Preset responses'!$E$2,IF(COUNTIF('Pivot source data'!$J$40:$Q$40,"?*")=0,"Waiting for answers - select Yes, No or Maybe in any question slicer, or pick a common response override.",IF(COUNTIF('Pivot source data'!$J$40:$O$40,"No")&gt;0,"Likely NOT appropriate - recommend reconsidering or contacting the team.",IF(COUNTIF('Pivot source data'!$J$40:$O$40,"Yes")=6,"Likely appropriate to proceed.","Based on the answers so far, more information is needed - unanswered questions are left out of the draft."))))</f>
      </c>
      <c r="C28" s="18"/>
      <c r="D28" s="18"/>
      <c r="E28" s="18"/>
      <c r="F28" s="18"/>
      <c r="G28" s="18"/>
      <c r="H28" s="18"/>
      <c r="I28" s="18"/>
    </row>
    <row r="29" spans="2:9" ht="24" customHeight="1" x14ac:dyDescent="0.25">
      <c r="B29" s="18"/>
      <c r="C29" s="18"/>
      <c r="D29" s="18"/>
      <c r="E29" s="18"/>
      <c r="F29" s="18"/>
      <c r="G29" s="18"/>
      <c r="H29" s="18"/>
      <c r="I29" s="18"/>
    </row>
    <row r="30" spans="2:9" ht="24" customHeight="1" x14ac:dyDescent="0.25">
      <c r="B30" s="18"/>
      <c r="C30" s="18"/>
      <c r="D30" s="18"/>
      <c r="E30" s="18"/>
      <c r="F30" s="18"/>
      <c r="G30" s="18"/>
      <c r="H30" s="18"/>
      <c r="I30" s="18"/>
    </row>
    <row r="32" spans="2:9" ht="21.95" customHeight="1" x14ac:dyDescent="0.25">
      <c r="B32" s="12" t="s">
        <v>56</v>
      </c>
      <c r="C32" s="12"/>
      <c r="D32" s="12"/>
      <c r="E32" s="12"/>
      <c r="F32" s="12"/>
      <c r="G32" s="12"/>
      <c r="H32" s="12"/>
      <c r="I32" s="12"/>
    </row>
    <row r="33" spans="2:9" ht="21.95" customHeight="1" x14ac:dyDescent="0.25">
      <c r="B33" s="13" t="s">
        <v>57</v>
      </c>
      <c r="C33" s="13"/>
      <c r="D33" s="14" t="inlineStr">
        <is>
          <t>Good morning</t>
        </is>
      </c>
      <c r="E33" s="14"/>
      <c r="F33" s="14"/>
      <c r="G33" s="11" t="s">
        <v>59</v>
      </c>
      <c r="H33" s="11"/>
      <c r="I33" s="11"/>
    </row>
    <row r="34" spans="2:9" ht="21.95" customHeight="1" x14ac:dyDescent="0.25">
      <c r="B34" s="13" t="inlineStr">
        <is>
          <t>Topic of the query (optional)</t>
        </is>
      </c>
      <c r="C34" s="13"/>
      <c r="D34" s="14"/>
      <c r="E34" s="14"/>
      <c r="F34" s="14"/>
      <c r="G34" s="11" t="inlineStr">
        <is>
          <t>Completes "Thank you for reaching out regarding ...", e.g. "using the funding for physiotherapy"</t>
        </is>
      </c>
      <c r="H34" s="11"/>
      <c r="I34" s="11"/>
    </row>
    <row r="35" spans="2:9" ht="18" customHeight="1" x14ac:dyDescent="0.25">
      <c r="B35" s="15" t="str">
        <f>TRIM(IF($D$33="","Hi",$D$33)&amp;" "&amp;TRIM($E$33))&amp;","&amp;CHAR(10)&amp;CHAR(10)&amp;IF(TRIM($D$34)="","Thank you for reaching out regarding the principal wellbeing targeted funding.","Thank you for reaching out regarding "&amp;TRIM($D$34)&amp;".")&amp;CHAR(10)&amp;CHAR(10)&amp;IF('Preset responses'!$F$2&lt;&gt;"",'Preset responses'!$F$2,IF(COUNTIF('Pivot source data'!$J$40:$Q$40,"?*")=0,"[Select an answer in one or more question slicers above, or pick a common response override, to build the body of the email.]",IF('Pivot source data'!$AA$40="","[The answers selected so far do not add any wording to the email - answer more of the question slicers above.]",'Pivot source data'!$AA$40)))&amp;CHAR(10)&amp;CHAR(10)&amp;"If you have any further questions, please reach out again. You can contact Principal wellbeing expenditure support by phone on 9264 4201 or by email at whsw.staffwellbeing@education.wa.edu.au."&amp;CHAR(10)&amp;CHAR(10)&amp;"Kind regards,"</f>
      </c>
      <c r="C35" s="15"/>
      <c r="D35" s="15"/>
      <c r="E35" s="15"/>
      <c r="F35" s="15"/>
      <c r="G35" s="15"/>
      <c r="H35" s="15"/>
      <c r="I35" s="15"/>
    </row>
    <row r="36" spans="2:9" ht="18" customHeight="1" x14ac:dyDescent="0.25">
      <c r="B36" s="15"/>
      <c r="C36" s="15"/>
      <c r="D36" s="15"/>
      <c r="E36" s="15"/>
      <c r="F36" s="15"/>
      <c r="G36" s="15"/>
      <c r="H36" s="15"/>
      <c r="I36" s="15"/>
    </row>
    <row r="37" spans="2:9" ht="18" customHeight="1" x14ac:dyDescent="0.25">
      <c r="B37" s="15"/>
      <c r="C37" s="15"/>
      <c r="D37" s="15"/>
      <c r="E37" s="15"/>
      <c r="F37" s="15"/>
      <c r="G37" s="15"/>
      <c r="H37" s="15"/>
      <c r="I37" s="15"/>
    </row>
    <row r="38" spans="2:9" ht="18" customHeight="1" x14ac:dyDescent="0.25">
      <c r="B38" s="15"/>
      <c r="C38" s="15"/>
      <c r="D38" s="15"/>
      <c r="E38" s="15"/>
      <c r="F38" s="15"/>
      <c r="G38" s="15"/>
      <c r="H38" s="15"/>
      <c r="I38" s="15"/>
    </row>
    <row r="39" spans="2:9" ht="18" customHeight="1" x14ac:dyDescent="0.25">
      <c r="B39" s="15"/>
      <c r="C39" s="15"/>
      <c r="D39" s="15"/>
      <c r="E39" s="15"/>
      <c r="F39" s="15"/>
      <c r="G39" s="15"/>
      <c r="H39" s="15"/>
      <c r="I39" s="15"/>
    </row>
    <row r="40" spans="2:9" ht="18" customHeight="1" x14ac:dyDescent="0.25">
      <c r="B40" s="15"/>
      <c r="C40" s="15"/>
      <c r="D40" s="15"/>
      <c r="E40" s="15"/>
      <c r="F40" s="15"/>
      <c r="G40" s="15"/>
      <c r="H40" s="15"/>
      <c r="I40" s="15"/>
    </row>
    <row r="41" spans="2:9" ht="18" customHeight="1" x14ac:dyDescent="0.25">
      <c r="B41" s="15"/>
      <c r="C41" s="15"/>
      <c r="D41" s="15"/>
      <c r="E41" s="15"/>
      <c r="F41" s="15"/>
      <c r="G41" s="15"/>
      <c r="H41" s="15"/>
      <c r="I41" s="15"/>
    </row>
    <row r="42" spans="2:9" ht="18" customHeight="1" x14ac:dyDescent="0.25">
      <c r="B42" s="15"/>
      <c r="C42" s="15"/>
      <c r="D42" s="15"/>
      <c r="E42" s="15"/>
      <c r="F42" s="15"/>
      <c r="G42" s="15"/>
      <c r="H42" s="15"/>
      <c r="I42" s="15"/>
    </row>
    <row r="43" spans="2:9" ht="18" customHeight="1" x14ac:dyDescent="0.25">
      <c r="B43" s="15"/>
      <c r="C43" s="15"/>
      <c r="D43" s="15"/>
      <c r="E43" s="15"/>
      <c r="F43" s="15"/>
      <c r="G43" s="15"/>
      <c r="H43" s="15"/>
      <c r="I43" s="15"/>
    </row>
    <row r="44" spans="2:9" ht="18" customHeight="1" x14ac:dyDescent="0.25">
      <c r="B44" s="15"/>
      <c r="C44" s="15"/>
      <c r="D44" s="15"/>
      <c r="E44" s="15"/>
      <c r="F44" s="15"/>
      <c r="G44" s="15"/>
      <c r="H44" s="15"/>
      <c r="I44" s="15"/>
    </row>
    <row r="45" spans="2:9" ht="18" customHeight="1" x14ac:dyDescent="0.25">
      <c r="B45" s="15"/>
      <c r="C45" s="15"/>
      <c r="D45" s="15"/>
      <c r="E45" s="15"/>
      <c r="F45" s="15"/>
      <c r="G45" s="15"/>
      <c r="H45" s="15"/>
      <c r="I45" s="15"/>
    </row>
    <row r="46" spans="2:9" ht="18" customHeight="1" x14ac:dyDescent="0.25">
      <c r="B46" s="15"/>
      <c r="C46" s="15"/>
      <c r="D46" s="15"/>
      <c r="E46" s="15"/>
      <c r="F46" s="15"/>
      <c r="G46" s="15"/>
      <c r="H46" s="15"/>
      <c r="I46" s="15"/>
    </row>
    <row r="47" spans="2:9" ht="18" customHeight="1" x14ac:dyDescent="0.25">
      <c r="B47" s="15"/>
      <c r="C47" s="15"/>
      <c r="D47" s="15"/>
      <c r="E47" s="15"/>
      <c r="F47" s="15"/>
      <c r="G47" s="15"/>
      <c r="H47" s="15"/>
      <c r="I47" s="15"/>
    </row>
    <row r="48" spans="2:9" ht="18" customHeight="1" x14ac:dyDescent="0.25">
      <c r="B48" s="15"/>
      <c r="C48" s="15"/>
      <c r="D48" s="15"/>
      <c r="E48" s="15"/>
      <c r="F48" s="15"/>
      <c r="G48" s="15"/>
      <c r="H48" s="15"/>
      <c r="I48" s="15"/>
    </row>
    <row r="49" spans="2:9" ht="18" customHeight="1" x14ac:dyDescent="0.25">
      <c r="B49" s="15"/>
      <c r="C49" s="15"/>
      <c r="D49" s="15"/>
      <c r="E49" s="15"/>
      <c r="F49" s="15"/>
      <c r="G49" s="15"/>
      <c r="H49" s="15"/>
      <c r="I49" s="15"/>
    </row>
    <row r="50" spans="2:9" ht="18" customHeight="1" x14ac:dyDescent="0.25">
      <c r="B50" s="15"/>
      <c r="C50" s="15"/>
      <c r="D50" s="15"/>
      <c r="E50" s="15"/>
      <c r="F50" s="15"/>
      <c r="G50" s="15"/>
      <c r="H50" s="15"/>
      <c r="I50" s="15"/>
    </row>
    <row r="51" spans="2:9" ht="18" customHeight="1" x14ac:dyDescent="0.25">
      <c r="B51" s="15"/>
      <c r="C51" s="15"/>
      <c r="D51" s="15"/>
      <c r="E51" s="15"/>
      <c r="F51" s="15"/>
      <c r="G51" s="15"/>
      <c r="H51" s="15"/>
      <c r="I51" s="15"/>
    </row>
    <row r="52" spans="2:9" ht="18" customHeight="1" x14ac:dyDescent="0.25">
      <c r="B52" s="15"/>
      <c r="C52" s="15"/>
      <c r="D52" s="15"/>
      <c r="E52" s="15"/>
      <c r="F52" s="15"/>
      <c r="G52" s="15"/>
      <c r="H52" s="15"/>
      <c r="I52" s="15"/>
    </row>
    <row r="54" spans="2:9" x14ac:dyDescent="0.25">
      <c r="B54" s="11" t="s">
        <v>61</v>
      </c>
      <c r="C54" s="11"/>
      <c r="D54" s="11"/>
      <c r="E54" s="11"/>
      <c r="F54" s="11"/>
      <c r="G54" s="11"/>
      <c r="H54" s="11"/>
      <c r="I54" s="11"/>
    </row>
    <row r="55" spans="2:9" x14ac:dyDescent="0.25">
      <c r="B55" s="11"/>
      <c r="C55" s="11"/>
      <c r="D55" s="11"/>
      <c r="E55" s="11"/>
      <c r="F55" s="11"/>
      <c r="G55" s="11"/>
      <c r="H55" s="11"/>
      <c r="I55" s="11"/>
    </row>
  </sheetData>
  <mergeCells count="14">
    <mergeCell ref="B2:I3"/>
    <mergeCell ref="B4:I5"/>
    <mergeCell ref="B7:I7"/>
    <mergeCell ref="B27:I27"/>
    <mergeCell ref="B28:I30"/>
    <mergeCell ref="B54:I55"/>
    <mergeCell ref="B32:I32"/>
    <mergeCell ref="B33:C33"/>
    <mergeCell ref="E33:F33"/>
    <mergeCell ref="B34:C34"/>
    <mergeCell ref="D34:F34"/>
    <mergeCell ref="G34:I34"/>
    <mergeCell ref="G33:I33"/>
    <mergeCell ref="B35:I52"/>
  </mergeCells>
  <conditionalFormatting sqref="B28:I30">
    <cfRule type="expression" dxfId="0" priority="1">
      <formula>ISNUMBER(SEARCH("Likely appropriate",$B$28))</formula>
    </cfRule>
    <cfRule type="expression" dxfId="1" priority="2">
      <formula>ISNUMBER(SEARCH("NOT appropriate",$B$28))</formula>
    </cfRule>
    <cfRule type="expression" dxfId="2" priority="3">
      <formula>ISNUMBER(SEARCH("more information",$B$28))</formula>
    </cfRule>
    <cfRule type="expression" dxfId="3" priority="4">
      <formula>ISNUMBER(SEARCH("Common response",$B$28))</formula>
    </cfRule>
  </conditionalFormatting>
  <dataValidations count="1">
    <dataValidation type="list" allowBlank="1" showInputMessage="1" showErrorMessage="1" sqref="D33">
      <formula1>"Good morning,Good afternoon,Good evening,Hi"</formula1>
    </dataValidation>
  </dataValidations>
  <pageMargins left="0.7" right="0.7" top="0.75" bottom="0.75" header="0.3" footer="0.3"/>
  <headerFooter>
    <oddHeader>&amp;C&amp;"Aptos"&amp;12&amp;K000000 OFFICIAL&amp;1#_x000D_</oddHeader>
  </headerFooter>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A78"/>
  </sheetPr>
  <dimension ref="B2:C33"/>
  <sheetViews>
    <sheetView showGridLines="0" zoomScaleNormal="100" workbookViewId="0"/>
  </sheetViews>
  <sheetFormatPr defaultColWidth="8.7109375" defaultRowHeight="15" x14ac:dyDescent="0.25"/>
  <cols>
    <col min="1" max="1" width="3" customWidth="1"/>
    <col min="2" max="2" width="46" customWidth="1"/>
    <col min="3" max="3" width="16" customWidth="1"/>
    <col min="4" max="7" width="3" customWidth="1"/>
  </cols>
  <sheetData>
    <row r="2" spans="2:3" ht="30" customHeight="1" x14ac:dyDescent="0.25">
      <c r="B2" s="19" t="s">
        <v>0</v>
      </c>
      <c r="C2" s="19"/>
    </row>
    <row r="4" spans="2:3" ht="15" customHeight="1" x14ac:dyDescent="0.25">
      <c r="B4" s="20" t="s">
        <v>1</v>
      </c>
      <c r="C4" s="20"/>
    </row>
    <row r="5" spans="2:3" x14ac:dyDescent="0.25">
      <c r="B5" s="20"/>
      <c r="C5" s="20"/>
    </row>
    <row r="6" spans="2:3" x14ac:dyDescent="0.25">
      <c r="B6" s="20"/>
      <c r="C6" s="20"/>
    </row>
    <row r="7" spans="2:3" x14ac:dyDescent="0.25">
      <c r="B7" s="20"/>
      <c r="C7" s="20"/>
    </row>
    <row r="8" spans="2:3" x14ac:dyDescent="0.25">
      <c r="B8" s="20"/>
      <c r="C8" s="20"/>
    </row>
    <row r="10" spans="2:3" x14ac:dyDescent="0.25">
      <c r="B10" s="1" t="s">
        <v>2</v>
      </c>
    </row>
    <row r="12" spans="2:3" ht="66" customHeight="1" x14ac:dyDescent="0.25">
      <c r="B12" s="2" t="s">
        <v>3</v>
      </c>
      <c r="C12" s="3"/>
    </row>
    <row r="14" spans="2:3" ht="81.75" customHeight="1" x14ac:dyDescent="0.25">
      <c r="B14" s="2" t="s">
        <v>4</v>
      </c>
      <c r="C14" s="3"/>
    </row>
    <row r="16" spans="2:3" ht="66" customHeight="1" x14ac:dyDescent="0.25">
      <c r="B16" s="2" t="s">
        <v>5</v>
      </c>
      <c r="C16" s="3"/>
    </row>
    <row r="18" spans="2:3" ht="66" customHeight="1" x14ac:dyDescent="0.25">
      <c r="B18" s="2" t="s">
        <v>6</v>
      </c>
      <c r="C18" s="3"/>
    </row>
    <row r="20" spans="2:3" ht="66" customHeight="1" x14ac:dyDescent="0.25">
      <c r="B20" s="2" t="s">
        <v>7</v>
      </c>
      <c r="C20" s="3"/>
    </row>
    <row r="22" spans="2:3" ht="81.75" customHeight="1" x14ac:dyDescent="0.25">
      <c r="B22" s="2" t="s">
        <v>8</v>
      </c>
      <c r="C22" s="3"/>
    </row>
    <row r="25" spans="2:3" x14ac:dyDescent="0.25">
      <c r="B25" s="1" t="s">
        <v>9</v>
      </c>
    </row>
    <row r="27" spans="2:3" ht="49.5" customHeight="1" x14ac:dyDescent="0.25">
      <c r="B27" s="2" t="s">
        <v>10</v>
      </c>
      <c r="C27" s="3"/>
    </row>
    <row r="29" spans="2:3" ht="49.5" customHeight="1" x14ac:dyDescent="0.25">
      <c r="B29" s="2" t="s">
        <v>11</v>
      </c>
      <c r="C29" s="3"/>
    </row>
    <row r="32" spans="2:3" ht="15" customHeight="1" x14ac:dyDescent="0.25">
      <c r="B32" s="21" t="s">
        <v>12</v>
      </c>
      <c r="C32" s="21"/>
    </row>
    <row r="33" spans="2:3" x14ac:dyDescent="0.25">
      <c r="B33" s="21"/>
      <c r="C33" s="21"/>
    </row>
  </sheetData>
  <mergeCells count="3">
    <mergeCell ref="B2:C2"/>
    <mergeCell ref="B4:C8"/>
    <mergeCell ref="B32:C33"/>
  </mergeCells>
  <dataValidations count="2">
    <dataValidation type="list" allowBlank="1" sqref="C12 C14 C16 C18 C20 C22 C27" xr:uid="{00000000-0002-0000-0100-000000000000}">
      <formula1>"Yes,No,Maybe"</formula1>
      <formula2>0</formula2>
    </dataValidation>
    <dataValidation type="list" allowBlank="1" sqref="C29" xr:uid="{00000000-0002-0000-0100-000002000000}">
      <formula1>"Yes,No"</formula1>
      <formula2>0</formula2>
    </dataValidation>
  </dataValidations>
  <pageMargins left="0.75" right="0.75" top="1" bottom="1" header="0.511811023622047" footer="0.511811023622047"/>
  <pageSetup paperSize="9" orientation="portrait" horizontalDpi="300" verticalDpi="300"/>
  <headerFooter>
    <oddHeader>&amp;C&amp;"Aptos"&amp;12&amp;K000000 OFFICIAL&amp;1#_x000D_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720C"/>
  </sheetPr>
  <dimension ref="B2:D38"/>
  <sheetViews>
    <sheetView showGridLines="0" zoomScaleNormal="100" workbookViewId="0"/>
  </sheetViews>
  <sheetFormatPr defaultColWidth="8.7109375" defaultRowHeight="15" x14ac:dyDescent="0.25"/>
  <cols>
    <col min="1" max="1" width="3" customWidth="1"/>
    <col min="2" max="2" width="46" customWidth="1"/>
    <col min="3" max="3" width="12" customWidth="1"/>
    <col min="4" max="4" width="60" customWidth="1"/>
    <col min="5" max="7" width="3" customWidth="1"/>
  </cols>
  <sheetData>
    <row r="2" spans="2:4" ht="30" customHeight="1" x14ac:dyDescent="0.25">
      <c r="B2" s="19" t="s">
        <v>13</v>
      </c>
      <c r="C2" s="19"/>
      <c r="D2" s="19"/>
    </row>
    <row r="4" spans="2:4" ht="15" customHeight="1" x14ac:dyDescent="0.25">
      <c r="B4" s="20" t="s">
        <v>14</v>
      </c>
      <c r="C4" s="20"/>
      <c r="D4" s="20"/>
    </row>
    <row r="5" spans="2:4" x14ac:dyDescent="0.25">
      <c r="B5" s="20"/>
      <c r="C5" s="20"/>
      <c r="D5" s="20"/>
    </row>
    <row r="7" spans="2:4" x14ac:dyDescent="0.25">
      <c r="B7" s="1" t="s">
        <v>15</v>
      </c>
    </row>
    <row r="8" spans="2:4" ht="39.75" customHeight="1" x14ac:dyDescent="0.25">
      <c r="B8" s="22" t="str">
        <f>IF(IF('Select answers'!C12="",1,0)+IF('Select answers'!C14="",1,0)+IF('Select answers'!C16="",1,0)+IF('Select answers'!C18="",1,0)+IF('Select answers'!C20="",1,0)+IF('Select answers'!C22="",1,0)&gt;0,"Answer all six decision-making framework questions on the Select answers tab to generate an assessment.",IF(IF('Select answers'!C12="No",1,0)+IF('Select answers'!C14="No",1,0)+IF('Select answers'!C16="No",1,0)+IF('Select answers'!C18="No",1,0)+IF('Select answers'!C20="No",1,0)+IF('Select answers'!C22="No",1,0)&gt;0,"Likely not appropriate. Contact the Principal Wellbeing Consultant before proceeding.",IF(IF('Select answers'!C12="Yes",1,0)+IF('Select answers'!C14="Yes",1,0)+IF('Select answers'!C16="Yes",1,0)+IF('Select answers'!C18="Yes",1,0)+IF('Select answers'!C20="Yes",1,0)+IF('Select answers'!C22="Yes",1,0)=6,"Likely appropriate to proceed.","Needs more information before this can be confirmed. Contact the Principal Wellbeing Consultant.")))</f>
        <v>Answer all six decision-making framework questions on the Select answers tab to generate an assessment.</v>
      </c>
      <c r="C8" s="22"/>
      <c r="D8" s="22"/>
    </row>
    <row r="9" spans="2:4" x14ac:dyDescent="0.25">
      <c r="B9" s="22"/>
      <c r="C9" s="22"/>
      <c r="D9" s="22"/>
    </row>
    <row r="11" spans="2:4" x14ac:dyDescent="0.25">
      <c r="B11" s="1" t="s">
        <v>16</v>
      </c>
    </row>
    <row r="12" spans="2:4" x14ac:dyDescent="0.25">
      <c r="B12" s="4" t="s">
        <v>17</v>
      </c>
      <c r="C12" s="4" t="s">
        <v>18</v>
      </c>
      <c r="D12" s="4" t="s">
        <v>62</v>
      </c>
    </row>
    <row r="13" spans="2:4" ht="49.5" customHeight="1" x14ac:dyDescent="0.25">
      <c r="B13" s="5" t="s">
        <v>19</v>
      </c>
      <c r="C13" s="6" t="str">
        <f>IF('Select answers'!C12="","",'Select answers'!C12)</f>
        <v/>
      </c>
      <c r="D13" s="5" t="str">
        <f>IF('Select answers'!C12="","",IFERROR(INDEX('Response library'!$D:$D,MATCH("Q1|"&amp;'Select answers'!C12,'Response library'!$E:$E,0)),""))</f>
        <v/>
      </c>
    </row>
    <row r="14" spans="2:4" ht="66" customHeight="1" x14ac:dyDescent="0.25">
      <c r="B14" s="5" t="s">
        <v>20</v>
      </c>
      <c r="C14" s="6" t="str">
        <f>IF('Select answers'!C14="","",'Select answers'!C14)</f>
        <v/>
      </c>
      <c r="D14" s="5" t="str">
        <f>IF('Select answers'!C14="","",IFERROR(INDEX('Response library'!$D:$D,MATCH("Q2|"&amp;'Select answers'!C14,'Response library'!$E:$E,0)),""))</f>
        <v/>
      </c>
    </row>
    <row r="15" spans="2:4" ht="66" customHeight="1" x14ac:dyDescent="0.25">
      <c r="B15" s="5" t="s">
        <v>21</v>
      </c>
      <c r="C15" s="6" t="str">
        <f>IF('Select answers'!C16="","",'Select answers'!C16)</f>
        <v/>
      </c>
      <c r="D15" s="5" t="str">
        <f>IF('Select answers'!C16="","",IFERROR(INDEX('Response library'!$D:$D,MATCH("Q3|"&amp;'Select answers'!C16,'Response library'!$E:$E,0)),""))</f>
        <v/>
      </c>
    </row>
    <row r="16" spans="2:4" ht="49.5" customHeight="1" x14ac:dyDescent="0.25">
      <c r="B16" s="5" t="s">
        <v>22</v>
      </c>
      <c r="C16" s="6" t="str">
        <f>IF('Select answers'!C18="","",'Select answers'!C18)</f>
        <v/>
      </c>
      <c r="D16" s="5" t="str">
        <f>IF('Select answers'!C18="","",IFERROR(INDEX('Response library'!$D:$D,MATCH("Q4|"&amp;'Select answers'!C18,'Response library'!$E:$E,0)),""))</f>
        <v/>
      </c>
    </row>
    <row r="17" spans="2:4" ht="49.5" customHeight="1" x14ac:dyDescent="0.25">
      <c r="B17" s="5" t="s">
        <v>23</v>
      </c>
      <c r="C17" s="6" t="str">
        <f>IF('Select answers'!C20="","",'Select answers'!C20)</f>
        <v/>
      </c>
      <c r="D17" s="5" t="str">
        <f>IF('Select answers'!C20="","",IFERROR(INDEX('Response library'!$D:$D,MATCH("Q5|"&amp;'Select answers'!C20,'Response library'!$E:$E,0)),""))</f>
        <v/>
      </c>
    </row>
    <row r="18" spans="2:4" ht="66" customHeight="1" x14ac:dyDescent="0.25">
      <c r="B18" s="5" t="s">
        <v>24</v>
      </c>
      <c r="C18" s="6" t="str">
        <f>IF('Select answers'!C22="","",'Select answers'!C22)</f>
        <v/>
      </c>
      <c r="D18" s="5" t="str">
        <f>IF('Select answers'!C22="","",IFERROR(INDEX('Response library'!$D:$D,MATCH("Q6|"&amp;'Select answers'!C22,'Response library'!$E:$E,0)),""))</f>
        <v/>
      </c>
    </row>
    <row r="19" spans="2:4" ht="49.5" customHeight="1" x14ac:dyDescent="0.25">
      <c r="B19" s="5" t="s">
        <v>10</v>
      </c>
      <c r="C19" s="6" t="str">
        <f>IF('Select answers'!C27="","",'Select answers'!C27)</f>
        <v/>
      </c>
      <c r="D19" s="5" t="str">
        <f>IF('Select answers'!C27="","",IFERROR(INDEX('Response library'!$D:$D,MATCH("Panel|"&amp;'Select answers'!C27,'Response library'!$E:$E,0)),""))</f>
        <v/>
      </c>
    </row>
    <row r="20" spans="2:4" ht="33.75" customHeight="1" x14ac:dyDescent="0.25">
      <c r="B20" s="5" t="s">
        <v>11</v>
      </c>
      <c r="C20" s="6" t="str">
        <f>IF('Select answers'!C29="","",'Select answers'!C29)</f>
        <v/>
      </c>
      <c r="D20" s="5" t="str">
        <f>IF('Select answers'!C29="","",IFERROR(INDEX('Response library'!$D:$D,MATCH("Travel|"&amp;'Select answers'!C29,'Response library'!$E:$E,0)),""))</f>
        <v/>
      </c>
    </row>
    <row r="23" spans="2:4" x14ac:dyDescent="0.25">
      <c r="B23" s="1" t="s">
        <v>25</v>
      </c>
    </row>
    <row r="24" spans="2:4" ht="18" customHeight="1" x14ac:dyDescent="0.25">
      <c r="B24" s="23" t="str">
        <f>_xlfn.TEXTJOIN(CHAR(10)&amp;CHAR(10),TRUE(),B8,D13,D14,D15,D16,D17,D18,D19,D20)</f>
        <v>Answer all six decision-making framework questions on the Select answers tab to generate an assessment.</v>
      </c>
      <c r="C24" s="23"/>
      <c r="D24" s="23"/>
    </row>
    <row r="25" spans="2:4" ht="18" customHeight="1" x14ac:dyDescent="0.25">
      <c r="B25" s="23"/>
      <c r="C25" s="23"/>
      <c r="D25" s="23"/>
    </row>
    <row r="26" spans="2:4" ht="18" customHeight="1" x14ac:dyDescent="0.25">
      <c r="B26" s="23"/>
      <c r="C26" s="23"/>
      <c r="D26" s="23"/>
    </row>
    <row r="27" spans="2:4" ht="18" customHeight="1" x14ac:dyDescent="0.25">
      <c r="B27" s="23"/>
      <c r="C27" s="23"/>
      <c r="D27" s="23"/>
    </row>
    <row r="28" spans="2:4" ht="18" customHeight="1" x14ac:dyDescent="0.25">
      <c r="B28" s="23"/>
      <c r="C28" s="23"/>
      <c r="D28" s="23"/>
    </row>
    <row r="29" spans="2:4" ht="18" customHeight="1" x14ac:dyDescent="0.25">
      <c r="B29" s="23"/>
      <c r="C29" s="23"/>
      <c r="D29" s="23"/>
    </row>
    <row r="30" spans="2:4" ht="18" customHeight="1" x14ac:dyDescent="0.25">
      <c r="B30" s="23"/>
      <c r="C30" s="23"/>
      <c r="D30" s="23"/>
    </row>
    <row r="31" spans="2:4" ht="18" customHeight="1" x14ac:dyDescent="0.25">
      <c r="B31" s="23"/>
      <c r="C31" s="23"/>
      <c r="D31" s="23"/>
    </row>
    <row r="32" spans="2:4" ht="18" customHeight="1" x14ac:dyDescent="0.25">
      <c r="B32" s="23"/>
      <c r="C32" s="23"/>
      <c r="D32" s="23"/>
    </row>
    <row r="33" spans="2:4" ht="18" customHeight="1" x14ac:dyDescent="0.25">
      <c r="B33" s="23"/>
      <c r="C33" s="23"/>
      <c r="D33" s="23"/>
    </row>
    <row r="34" spans="2:4" ht="18" customHeight="1" x14ac:dyDescent="0.25">
      <c r="B34" s="23"/>
      <c r="C34" s="23"/>
      <c r="D34" s="23"/>
    </row>
    <row r="35" spans="2:4" ht="18" customHeight="1" x14ac:dyDescent="0.25">
      <c r="B35" s="23"/>
      <c r="C35" s="23"/>
      <c r="D35" s="23"/>
    </row>
    <row r="36" spans="2:4" ht="18" customHeight="1" x14ac:dyDescent="0.25">
      <c r="B36" s="23"/>
      <c r="C36" s="23"/>
      <c r="D36" s="23"/>
    </row>
    <row r="37" spans="2:4" ht="18" customHeight="1" x14ac:dyDescent="0.25">
      <c r="B37" s="23"/>
      <c r="C37" s="23"/>
      <c r="D37" s="23"/>
    </row>
    <row r="38" spans="2:4" ht="18" customHeight="1" x14ac:dyDescent="0.25">
      <c r="B38" s="23"/>
      <c r="C38" s="23"/>
      <c r="D38" s="23"/>
    </row>
  </sheetData>
  <mergeCells count="4">
    <mergeCell ref="B2:D2"/>
    <mergeCell ref="B4:D5"/>
    <mergeCell ref="B8:D9"/>
    <mergeCell ref="B24:D38"/>
  </mergeCells>
  <pageMargins left="0.75" right="0.75" top="1" bottom="1" header="0.511811023622047" footer="0.511811023622047"/>
  <pageSetup paperSize="9" orientation="portrait" horizontalDpi="300" verticalDpi="300"/>
  <headerFooter>
    <oddHeader>&amp;C&amp;"Aptos"&amp;12&amp;K000000 OFFICIAL&amp;1#_x000D_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BFBF"/>
  </sheetPr>
  <dimension ref="A1:AA40"/>
  <sheetViews>
    <sheetView zoomScaleNormal="100" workbookViewId="0"/>
  </sheetViews>
  <sheetFormatPr defaultColWidth="8.7109375" defaultRowHeight="15" x14ac:dyDescent="0.25"/>
  <cols>
    <col min="1" max="1" width="14" customWidth="1"/>
    <col min="2" max="2" width="9" hidden="1" customWidth="1"/>
    <col min="10" max="27" width="12" hidden="1" customWidth="1"/>
  </cols>
  <sheetData>
    <row r="1" spans="1:2" ht="15" customHeight="1" x14ac:dyDescent="0.25">
      <c r="A1" t="s">
        <v>63</v>
      </c>
      <c r="B1" t="s">
        <v>64</v>
      </c>
    </row>
    <row r="2" spans="1:2" ht="15" customHeight="1" x14ac:dyDescent="0.25">
      <c r="A2" t="s">
        <v>65</v>
      </c>
      <c r="B2">
        <f>SUBTOTAL(103,A2)</f>
      </c>
    </row>
    <row r="3" spans="1:2" ht="15" customHeight="1" x14ac:dyDescent="0.25">
      <c r="A3" t="s">
        <v>66</v>
      </c>
      <c r="B3">
        <f>SUBTOTAL(103,A3)</f>
      </c>
    </row>
    <row r="4" spans="1:2" ht="15" customHeight="1" x14ac:dyDescent="0.25">
      <c r="A4" t="s">
        <v>67</v>
      </c>
      <c r="B4">
        <f>SUBTOTAL(103,A4)</f>
      </c>
    </row>
    <row r="6" spans="1:2" ht="15" customHeight="1" x14ac:dyDescent="0.25">
      <c r="A6" t="s">
        <v>68</v>
      </c>
      <c r="B6" t="s">
        <v>64</v>
      </c>
    </row>
    <row r="7" spans="1:2" ht="15" customHeight="1" x14ac:dyDescent="0.25">
      <c r="A7" t="s">
        <v>65</v>
      </c>
      <c r="B7">
        <f>SUBTOTAL(103,A7)</f>
      </c>
    </row>
    <row r="8" spans="1:2" ht="15" customHeight="1" x14ac:dyDescent="0.25">
      <c r="A8" t="s">
        <v>66</v>
      </c>
      <c r="B8">
        <f>SUBTOTAL(103,A8)</f>
      </c>
    </row>
    <row r="9" spans="1:2" ht="15" customHeight="1" x14ac:dyDescent="0.25">
      <c r="A9" t="s">
        <v>67</v>
      </c>
      <c r="B9">
        <f>SUBTOTAL(103,A9)</f>
      </c>
    </row>
    <row r="11" spans="1:2" ht="15" customHeight="1" x14ac:dyDescent="0.25">
      <c r="A11" t="s">
        <v>69</v>
      </c>
      <c r="B11" t="s">
        <v>64</v>
      </c>
    </row>
    <row r="12" spans="1:2" ht="15" customHeight="1" x14ac:dyDescent="0.25">
      <c r="A12" t="s">
        <v>65</v>
      </c>
      <c r="B12">
        <f>SUBTOTAL(103,A12)</f>
      </c>
    </row>
    <row r="13" spans="1:2" ht="15" customHeight="1" x14ac:dyDescent="0.25">
      <c r="A13" t="s">
        <v>66</v>
      </c>
      <c r="B13">
        <f>SUBTOTAL(103,A13)</f>
      </c>
    </row>
    <row r="14" spans="1:2" ht="15" customHeight="1" x14ac:dyDescent="0.25">
      <c r="A14" t="s">
        <v>67</v>
      </c>
      <c r="B14">
        <f>SUBTOTAL(103,A14)</f>
      </c>
    </row>
    <row r="16" spans="1:2" ht="15" customHeight="1" x14ac:dyDescent="0.25">
      <c r="A16" t="s">
        <v>70</v>
      </c>
      <c r="B16" t="s">
        <v>64</v>
      </c>
    </row>
    <row r="17" spans="1:2" ht="15" customHeight="1" x14ac:dyDescent="0.25">
      <c r="A17" t="s">
        <v>65</v>
      </c>
      <c r="B17">
        <f>SUBTOTAL(103,A17)</f>
      </c>
    </row>
    <row r="18" spans="1:2" ht="15" customHeight="1" x14ac:dyDescent="0.25">
      <c r="A18" t="s">
        <v>66</v>
      </c>
      <c r="B18">
        <f>SUBTOTAL(103,A18)</f>
      </c>
    </row>
    <row r="19" spans="1:2" ht="15" customHeight="1" x14ac:dyDescent="0.25">
      <c r="A19" t="s">
        <v>67</v>
      </c>
      <c r="B19">
        <f>SUBTOTAL(103,A19)</f>
      </c>
    </row>
    <row r="21" spans="1:2" ht="15" customHeight="1" x14ac:dyDescent="0.25">
      <c r="A21" t="s">
        <v>71</v>
      </c>
      <c r="B21" t="s">
        <v>64</v>
      </c>
    </row>
    <row r="22" spans="1:2" ht="15" customHeight="1" x14ac:dyDescent="0.25">
      <c r="A22" t="s">
        <v>65</v>
      </c>
      <c r="B22">
        <f>SUBTOTAL(103,A22)</f>
      </c>
    </row>
    <row r="23" spans="1:2" ht="15" customHeight="1" x14ac:dyDescent="0.25">
      <c r="A23" t="s">
        <v>66</v>
      </c>
      <c r="B23">
        <f>SUBTOTAL(103,A23)</f>
      </c>
    </row>
    <row r="24" spans="1:2" ht="15" customHeight="1" x14ac:dyDescent="0.25">
      <c r="A24" t="s">
        <v>67</v>
      </c>
      <c r="B24">
        <f>SUBTOTAL(103,A24)</f>
      </c>
    </row>
    <row r="26" spans="1:2" ht="15" customHeight="1" x14ac:dyDescent="0.25">
      <c r="A26" t="s">
        <v>72</v>
      </c>
      <c r="B26" t="s">
        <v>64</v>
      </c>
    </row>
    <row r="27" spans="1:2" ht="15" customHeight="1" x14ac:dyDescent="0.25">
      <c r="A27" t="s">
        <v>65</v>
      </c>
      <c r="B27">
        <f>SUBTOTAL(103,A27)</f>
      </c>
    </row>
    <row r="28" spans="1:2" ht="15" customHeight="1" x14ac:dyDescent="0.25">
      <c r="A28" t="s">
        <v>66</v>
      </c>
      <c r="B28">
        <f>SUBTOTAL(103,A28)</f>
      </c>
    </row>
    <row r="29" spans="1:2" ht="15" customHeight="1" x14ac:dyDescent="0.25">
      <c r="A29" t="s">
        <v>67</v>
      </c>
      <c r="B29">
        <f>SUBTOTAL(103,A29)</f>
      </c>
    </row>
    <row r="31" spans="1:2" ht="15" customHeight="1" x14ac:dyDescent="0.25">
      <c r="A31" t="s">
        <v>73</v>
      </c>
      <c r="B31" t="s">
        <v>64</v>
      </c>
    </row>
    <row r="32" spans="1:2" ht="15" customHeight="1" x14ac:dyDescent="0.25">
      <c r="A32" t="s">
        <v>65</v>
      </c>
      <c r="B32">
        <f>SUBTOTAL(103,A32)</f>
      </c>
    </row>
    <row r="33" spans="1:27" ht="15" customHeight="1" x14ac:dyDescent="0.25">
      <c r="A33" t="s">
        <v>66</v>
      </c>
      <c r="B33">
        <f>SUBTOTAL(103,A33)</f>
      </c>
    </row>
    <row r="34" spans="1:27" ht="15" customHeight="1" x14ac:dyDescent="0.25">
      <c r="A34" t="s">
        <v>67</v>
      </c>
      <c r="B34">
        <f>SUBTOTAL(103,A34)</f>
      </c>
    </row>
    <row r="36" spans="1:27" ht="15" customHeight="1" x14ac:dyDescent="0.25">
      <c r="A36" t="s">
        <v>74</v>
      </c>
      <c r="B36" t="s">
        <v>64</v>
      </c>
    </row>
    <row r="37" spans="1:27" ht="15" customHeight="1" x14ac:dyDescent="0.25">
      <c r="A37" t="s">
        <v>65</v>
      </c>
      <c r="B37">
        <f>SUBTOTAL(103,A37)</f>
      </c>
    </row>
    <row r="38" spans="1:27" ht="15" customHeight="1" x14ac:dyDescent="0.25">
      <c r="A38" t="s">
        <v>66</v>
      </c>
      <c r="B38">
        <f>SUBTOTAL(103,A38)</f>
      </c>
    </row>
    <row r="39" spans="1:27" ht="15" customHeight="1" x14ac:dyDescent="0.25">
      <c r="A39" t="s">
        <v>67</v>
      </c>
      <c r="B39">
        <f>SUBTOTAL(103,A39)</f>
      </c>
      <c r="J39" t="s">
        <v>75</v>
      </c>
      <c r="K39" t="s">
        <v>76</v>
      </c>
      <c r="L39" t="s">
        <v>77</v>
      </c>
      <c r="M39" t="s">
        <v>78</v>
      </c>
      <c r="N39" t="s">
        <v>79</v>
      </c>
      <c r="O39" t="s">
        <v>80</v>
      </c>
      <c r="P39" t="s">
        <v>81</v>
      </c>
      <c r="Q39" t="s">
        <v>82</v>
      </c>
      <c r="R39" t="s">
        <v>83</v>
      </c>
      <c r="S39" t="s">
        <v>84</v>
      </c>
      <c r="T39" t="s">
        <v>85</v>
      </c>
      <c r="U39" t="s">
        <v>86</v>
      </c>
      <c r="V39" t="s">
        <v>87</v>
      </c>
      <c r="W39" t="s">
        <v>88</v>
      </c>
      <c r="X39" t="s">
        <v>89</v>
      </c>
      <c r="Y39" t="s">
        <v>90</v>
      </c>
      <c r="Z39" t="s">
        <v>15</v>
      </c>
      <c r="AA39" t="s">
        <v>91</v>
      </c>
    </row>
    <row r="40" spans="1:27" ht="15" customHeight="1" x14ac:dyDescent="0.25">
      <c r="J40" t="str">
        <f>IF(SUM($B$2:$B$4)=1,INDEX($A$2:$A$4,MATCH(1,$B$2:$B$4,0)),"")</f>
      </c>
      <c r="K40" t="str">
        <f>IF(SUM($B$7:$B$9)=1,INDEX($A$7:$A$9,MATCH(1,$B$7:$B$9,0)),"")</f>
      </c>
      <c r="L40" t="str">
        <f>IF(SUM($B$12:$B$14)=1,INDEX($A$12:$A$14,MATCH(1,$B$12:$B$14,0)),"")</f>
      </c>
      <c r="M40" t="str">
        <f>IF(SUM($B$17:$B$19)=1,INDEX($A$17:$A$19,MATCH(1,$B$17:$B$19,0)),"")</f>
      </c>
      <c r="N40" t="str">
        <f>IF(SUM($B$22:$B$24)=1,INDEX($A$22:$A$24,MATCH(1,$B$22:$B$24,0)),"")</f>
      </c>
      <c r="O40" t="str">
        <f>IF(SUM($B$27:$B$29)=1,INDEX($A$27:$A$29,MATCH(1,$B$27:$B$29,0)),"")</f>
      </c>
      <c r="P40" t="str">
        <f>IF(SUM($B$32:$B$34)=1,INDEX($A$32:$A$34,MATCH(1,$B$32:$B$34,0)),"")</f>
      </c>
      <c r="Q40" t="str">
        <f>IF(SUM($B$37:$B$39)=1,INDEX($A$37:$A$39,MATCH(1,$B$37:$B$39,0)),"")</f>
      </c>
      <c r="R40" t="str">
        <f>IF($J$40="","",IFERROR(INDEX('Response library'!$D$2:$D$24,MATCH("Q1|"&amp;$J$40,'Response library'!$E$2:$E$24,0)),""))</f>
      </c>
      <c r="S40" t="str">
        <f>IF($K$40="","",IFERROR(INDEX('Response library'!$D$2:$D$24,MATCH("Q2|"&amp;$K$40,'Response library'!$E$2:$E$24,0)),""))</f>
      </c>
      <c r="T40" t="str">
        <f>IF($L$40="","",IFERROR(INDEX('Response library'!$D$2:$D$24,MATCH("Q3|"&amp;$L$40,'Response library'!$E$2:$E$24,0)),""))</f>
      </c>
      <c r="U40" t="str">
        <f>IF($M$40="","",IFERROR(INDEX('Response library'!$D$2:$D$24,MATCH("Q4|"&amp;$M$40,'Response library'!$E$2:$E$24,0)),""))</f>
      </c>
      <c r="V40" t="str">
        <f>IF($N$40="","",IFERROR(INDEX('Response library'!$D$2:$D$24,MATCH("Q5|"&amp;$N$40,'Response library'!$E$2:$E$24,0)),""))</f>
      </c>
      <c r="W40" t="str">
        <f>IF($O$40="","",IFERROR(INDEX('Response library'!$D$2:$D$24,MATCH("Q6|"&amp;$O$40,'Response library'!$E$2:$E$24,0)),""))</f>
      </c>
      <c r="X40" t="str">
        <f>IF($P$40="","",IFERROR(INDEX('Response library'!$D$2:$D$24,MATCH("Panel|"&amp;$P$40,'Response library'!$E$2:$E$24,0)),""))</f>
      </c>
      <c r="Y40" t="str">
        <f>IF($Q$40="","",IFERROR(T(INDEX('Response library'!$D$2:$D$25,MATCH("Travel|"&amp;$Q$40,'Response library'!$E$2:$E$25,0))),""))</f>
      </c>
      <c r="Z40" t="str">
        <f>IF(COUNTIF($J$40:$O$40,"?*")=0,"",IF(COUNTIF($J$40:$O$40,"No")&gt;0,"To answer briefly: based on the decision-making framework, this expenditure does not appear to be appropriate. Please see the detail below.",IF(COUNTIF($J$40:$O$40,"Yes")=6,"To answer briefly: based on the decision-making framework, this expenditure is likely to be appropriate. Please see the detail below.","To answer briefly: we need a little more information before this expenditure can be confirmed as appropriate. Please see the detail below.")))</f>
      </c>
      <c r="AA40" t="str">
        <f>IF(COUNTIF($J$40:$Q$40,"?*")=0,"",_xlfn.TEXTJOIN(CHAR(10)&amp;CHAR(10),TRUE(),$Z$40,IF(COUNTIF($J$40:$O$40,"?*")=0,"","To answer more thoroughly:"),$R$40:$Y$40))</f>
      </c>
    </row>
  </sheetData>
  <pageMargins left="0.75" right="0.75" top="1" bottom="1" header="0.511811023622047" footer="0.511811023622047"/>
  <pageSetup paperSize="9" orientation="portrait" horizontalDpi="300" verticalDpi="300"/>
  <headerFooter>
    <oddHeader>&amp;C&amp;"Aptos"&amp;12&amp;K000000 OFFICIAL&amp;1#_x000D_</oddHeader>
  </headerFooter>
  <tableParts count="8">
    <tablePart r:id="rId1"/>
    <tablePart r:id="rId2"/>
    <tablePart r:id="rId3"/>
    <tablePart r:id="rId4"/>
    <tablePart r:id="rId5"/>
    <tablePart r:id="rId6"/>
    <tablePart r:id="rId7"/>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1B3B4"/>
  </sheetPr>
  <dimension ref="B2:C19"/>
  <sheetViews>
    <sheetView showGridLines="0" zoomScaleNormal="100" workbookViewId="0"/>
  </sheetViews>
  <sheetFormatPr defaultColWidth="8.7109375" defaultRowHeight="15" x14ac:dyDescent="0.25"/>
  <cols>
    <col min="1" max="1" width="3" customWidth="1"/>
    <col min="2" max="2" width="46" customWidth="1"/>
    <col min="3" max="3" width="70" customWidth="1"/>
  </cols>
  <sheetData>
    <row r="2" spans="2:3" ht="30" customHeight="1" x14ac:dyDescent="0.25">
      <c r="B2" s="19" t="s">
        <v>26</v>
      </c>
      <c r="C2" s="19"/>
    </row>
    <row r="4" spans="2:3" x14ac:dyDescent="0.25">
      <c r="B4" s="7" t="s">
        <v>27</v>
      </c>
      <c r="C4" s="7" t="s">
        <v>28</v>
      </c>
    </row>
    <row r="5" spans="2:3" ht="18" customHeight="1" x14ac:dyDescent="0.25">
      <c r="B5" s="8" t="s">
        <v>29</v>
      </c>
      <c r="C5" s="9" t="s">
        <v>30</v>
      </c>
    </row>
    <row r="6" spans="2:3" ht="18" customHeight="1" x14ac:dyDescent="0.25">
      <c r="B6" s="8" t="s">
        <v>31</v>
      </c>
      <c r="C6" s="9" t="s">
        <v>32</v>
      </c>
    </row>
    <row r="7" spans="2:3" ht="18" customHeight="1" x14ac:dyDescent="0.25">
      <c r="B7" s="8" t="s">
        <v>33</v>
      </c>
      <c r="C7" s="9" t="s">
        <v>34</v>
      </c>
    </row>
    <row r="8" spans="2:3" ht="18" customHeight="1" x14ac:dyDescent="0.25">
      <c r="B8" s="8" t="s">
        <v>35</v>
      </c>
      <c r="C8" s="9" t="s">
        <v>36</v>
      </c>
    </row>
    <row r="9" spans="2:3" ht="18" customHeight="1" x14ac:dyDescent="0.25">
      <c r="B9" s="8" t="s">
        <v>37</v>
      </c>
      <c r="C9" s="9" t="s">
        <v>38</v>
      </c>
    </row>
    <row r="10" spans="2:3" ht="18" customHeight="1" x14ac:dyDescent="0.25">
      <c r="B10" s="8" t="s">
        <v>39</v>
      </c>
      <c r="C10" s="9" t="s">
        <v>40</v>
      </c>
    </row>
    <row r="11" spans="2:3" ht="18" customHeight="1" x14ac:dyDescent="0.25">
      <c r="B11" s="8" t="s">
        <v>41</v>
      </c>
      <c r="C11" s="9" t="s">
        <v>42</v>
      </c>
    </row>
    <row r="12" spans="2:3" ht="18" customHeight="1" x14ac:dyDescent="0.25">
      <c r="B12" s="8" t="s">
        <v>43</v>
      </c>
      <c r="C12" s="9" t="s">
        <v>44</v>
      </c>
    </row>
    <row r="13" spans="2:3" ht="18" customHeight="1" x14ac:dyDescent="0.25">
      <c r="B13" s="8" t="s">
        <v>45</v>
      </c>
      <c r="C13" s="9" t="s">
        <v>46</v>
      </c>
    </row>
    <row r="14" spans="2:3" ht="18" customHeight="1" x14ac:dyDescent="0.25">
      <c r="B14" s="8" t="s">
        <v>47</v>
      </c>
      <c r="C14" s="9" t="s">
        <v>48</v>
      </c>
    </row>
    <row r="15" spans="2:3" ht="18" customHeight="1" x14ac:dyDescent="0.25">
      <c r="B15" s="8" t="s">
        <v>49</v>
      </c>
      <c r="C15" s="9" t="s">
        <v>50</v>
      </c>
    </row>
    <row r="16" spans="2:3" ht="18" customHeight="1" x14ac:dyDescent="0.25">
      <c r="B16" s="8" t="s">
        <v>51</v>
      </c>
      <c r="C16" s="9" t="s">
        <v>52</v>
      </c>
    </row>
    <row r="17" spans="2:3" x14ac:dyDescent="0.25">
      <c r="B17" s="8" t="inlineStr">
        <is>
          <t xml:space="preserve">Official Air Travel procedures</t>
        </is>
      </c>
      <c r="C17" s="9" t="inlineStr">
        <is>
          <t xml:space="preserve">https://www.education.wa.edu.au/web/policies/-/official-air-travel-procedures</t>
        </is>
      </c>
    </row>
    <row r="18" spans="2:3" x14ac:dyDescent="0.25">
      <c r="B18" s="8" t="inlineStr">
        <is>
          <t xml:space="preserve">Travel Accommodation, Meal and Other Expenses procedures</t>
        </is>
      </c>
      <c r="C18" s="9" t="inlineStr">
        <is>
          <t xml:space="preserve">https://www.education.wa.edu.au/web/policies/-/travel-accommodation-meal-and-other-expenses-procedures</t>
        </is>
      </c>
    </row>
    <row r="19" spans="2:3" x14ac:dyDescent="0.25">
      <c r="B19" s="8" t="inlineStr">
        <is>
          <t xml:space="preserve">Tenders WA (panel tender information for providers)</t>
        </is>
      </c>
      <c r="C19" s="9" t="inlineStr">
        <is>
          <t xml:space="preserve">https://www.tenders.wa.gov.au/</t>
        </is>
      </c>
    </row>
  </sheetData>
  <mergeCells count="1">
    <mergeCell ref="B2:C2"/>
  </mergeCells>
  <hyperlinks>
    <hyperlink ref="C5" r:id="rId1" xr:uid="{00000000-0004-0000-0400-000000000000}"/>
    <hyperlink ref="C6" r:id="rId2" xr:uid="{00000000-0004-0000-0400-000001000000}"/>
    <hyperlink ref="C7" r:id="rId3" xr:uid="{00000000-0004-0000-0400-000002000000}"/>
    <hyperlink ref="C8" r:id="rId4" xr:uid="{00000000-0004-0000-0400-000003000000}"/>
    <hyperlink ref="C9" r:id="rId5" xr:uid="{00000000-0004-0000-0400-000004000000}"/>
    <hyperlink ref="C10" r:id="rId6" xr:uid="{00000000-0004-0000-0400-000005000000}"/>
    <hyperlink ref="C11" r:id="rId7" xr:uid="{00000000-0004-0000-0400-000006000000}"/>
    <hyperlink ref="C12" r:id="rId8" xr:uid="{00000000-0004-0000-0400-000007000000}"/>
    <hyperlink ref="C13" r:id="rId9" xr:uid="{00000000-0004-0000-0400-000008000000}"/>
    <hyperlink ref="C14" r:id="rId10" xr:uid="{00000000-0004-0000-0400-000009000000}"/>
    <hyperlink ref="C15" r:id="rId11" xr:uid="{00000000-0004-0000-0400-00000A000000}"/>
    <hyperlink ref="C16" r:id="rId12" xr:uid="{00000000-0004-0000-0400-00000B000000}"/>
    <hyperlink ref="C17" r:id="rId13"/>
    <hyperlink ref="C18" r:id="rId14"/>
    <hyperlink ref="C19" r:id="rId15"/>
  </hyperlinks>
  <pageMargins left="0.75" right="0.75" top="1" bottom="1" header="0.511811023622047" footer="0.511811023622047"/>
  <pageSetup paperSize="9" orientation="portrait" horizontalDpi="300" verticalDpi="300"/>
  <headerFooter>
    <oddHeader>&amp;C&amp;"Aptos"&amp;12&amp;K000000 OFFICIAL&amp;1#_x000D_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5803A"/>
  </sheetPr>
  <dimension ref="A1:E25"/>
  <sheetViews>
    <sheetView showGridLines="0" zoomScaleNormal="100" workbookViewId="0">
      <pane ySplit="1" topLeftCell="A2" activePane="bottomLeft" state="frozen"/>
      <selection pane="bottomLeft" activeCell="D2" sqref="D2"/>
    </sheetView>
  </sheetViews>
  <sheetFormatPr defaultColWidth="8.7109375" defaultRowHeight="15" x14ac:dyDescent="0.25"/>
  <cols>
    <col min="1" max="1" width="12" customWidth="1"/>
    <col min="2" max="2" width="58" customWidth="1"/>
    <col min="3" max="3" width="12" customWidth="1"/>
    <col min="4" max="4" width="85" customWidth="1"/>
    <col min="5" max="5" width="18" hidden="1" customWidth="1"/>
  </cols>
  <sheetData>
    <row r="1" spans="1:5" ht="27.95" customHeight="1" x14ac:dyDescent="0.25">
      <c r="A1" s="4" t="s">
        <v>92</v>
      </c>
      <c r="B1" s="4" t="s">
        <v>17</v>
      </c>
      <c r="C1" s="4" t="s">
        <v>93</v>
      </c>
      <c r="D1" s="4" t="s">
        <v>94</v>
      </c>
      <c r="E1" s="4" t="s">
        <v>95</v>
      </c>
    </row>
    <row r="2" spans="1:5" ht="48" customHeight="1" x14ac:dyDescent="0.25">
      <c r="A2" s="5" t="s">
        <v>63</v>
      </c>
      <c r="B2" s="5" t="s">
        <v>96</v>
      </c>
      <c r="C2" s="6" t="s">
        <v>65</v>
      </c>
      <c r="D2" s="10" t="s">
        <v>97</v>
      </c>
      <c r="E2" s="5" t="str">
        <f t="shared" ref="E2:E24" si="0">A2&amp;"|"&amp;C2</f>
        <v>Q1|Yes</v>
      </c>
    </row>
    <row r="3" spans="1:5" ht="48" customHeight="1" x14ac:dyDescent="0.25">
      <c r="A3" s="5" t="s">
        <v>63</v>
      </c>
      <c r="B3" s="5" t="s">
        <v>96</v>
      </c>
      <c r="C3" s="6" t="s">
        <v>66</v>
      </c>
      <c r="D3" s="10" t="s">
        <v>98</v>
      </c>
      <c r="E3" s="5" t="str">
        <f t="shared" si="0"/>
        <v>Q1|No</v>
      </c>
    </row>
    <row r="4" spans="1:5" ht="48" customHeight="1" x14ac:dyDescent="0.25">
      <c r="A4" s="5" t="s">
        <v>63</v>
      </c>
      <c r="B4" s="5" t="s">
        <v>96</v>
      </c>
      <c r="C4" s="6" t="s">
        <v>67</v>
      </c>
      <c r="D4" s="10" t="s">
        <v>99</v>
      </c>
      <c r="E4" s="5" t="str">
        <f t="shared" si="0"/>
        <v>Q1|Maybe</v>
      </c>
    </row>
    <row r="5" spans="1:5" ht="48" customHeight="1" x14ac:dyDescent="0.25">
      <c r="A5" s="5" t="s">
        <v>68</v>
      </c>
      <c r="B5" s="5" t="s">
        <v>100</v>
      </c>
      <c r="C5" s="6" t="s">
        <v>65</v>
      </c>
      <c r="D5" s="10" t="s">
        <v>101</v>
      </c>
      <c r="E5" s="5" t="str">
        <f t="shared" si="0"/>
        <v>Q2|Yes</v>
      </c>
    </row>
    <row r="6" spans="1:5" ht="48" customHeight="1" x14ac:dyDescent="0.25">
      <c r="A6" s="5" t="s">
        <v>68</v>
      </c>
      <c r="B6" s="5" t="s">
        <v>100</v>
      </c>
      <c r="C6" s="6" t="s">
        <v>66</v>
      </c>
      <c r="D6" s="10" t="s">
        <v>102</v>
      </c>
      <c r="E6" s="5" t="str">
        <f t="shared" si="0"/>
        <v>Q2|No</v>
      </c>
    </row>
    <row r="7" spans="1:5" ht="48" customHeight="1" x14ac:dyDescent="0.25">
      <c r="A7" s="5" t="s">
        <v>68</v>
      </c>
      <c r="B7" s="5" t="s">
        <v>100</v>
      </c>
      <c r="C7" s="6" t="s">
        <v>67</v>
      </c>
      <c r="D7" s="10" t="s">
        <v>103</v>
      </c>
      <c r="E7" s="5" t="str">
        <f t="shared" si="0"/>
        <v>Q2|Maybe</v>
      </c>
    </row>
    <row r="8" spans="1:5" ht="48" customHeight="1" x14ac:dyDescent="0.25">
      <c r="A8" s="5" t="s">
        <v>69</v>
      </c>
      <c r="B8" s="5" t="s">
        <v>104</v>
      </c>
      <c r="C8" s="6" t="s">
        <v>65</v>
      </c>
      <c r="D8" s="10" t="s">
        <v>105</v>
      </c>
      <c r="E8" s="5" t="str">
        <f t="shared" si="0"/>
        <v>Q3|Yes</v>
      </c>
    </row>
    <row r="9" spans="1:5" ht="48" customHeight="1" x14ac:dyDescent="0.25">
      <c r="A9" s="5" t="s">
        <v>69</v>
      </c>
      <c r="B9" s="5" t="s">
        <v>104</v>
      </c>
      <c r="C9" s="6" t="s">
        <v>66</v>
      </c>
      <c r="D9" s="10" t="s">
        <v>106</v>
      </c>
      <c r="E9" s="5" t="str">
        <f t="shared" si="0"/>
        <v>Q3|No</v>
      </c>
    </row>
    <row r="10" spans="1:5" ht="48" customHeight="1" x14ac:dyDescent="0.25">
      <c r="A10" s="5" t="s">
        <v>69</v>
      </c>
      <c r="B10" s="5" t="s">
        <v>104</v>
      </c>
      <c r="C10" s="6" t="s">
        <v>67</v>
      </c>
      <c r="D10" s="10" t="s">
        <v>107</v>
      </c>
      <c r="E10" s="5" t="str">
        <f t="shared" si="0"/>
        <v>Q3|Maybe</v>
      </c>
    </row>
    <row r="11" spans="1:5" ht="48" customHeight="1" x14ac:dyDescent="0.25">
      <c r="A11" s="5" t="s">
        <v>70</v>
      </c>
      <c r="B11" s="5" t="s">
        <v>108</v>
      </c>
      <c r="C11" s="6" t="s">
        <v>65</v>
      </c>
      <c r="D11" s="10" t="s">
        <v>109</v>
      </c>
      <c r="E11" s="5" t="str">
        <f t="shared" si="0"/>
        <v>Q4|Yes</v>
      </c>
    </row>
    <row r="12" spans="1:5" ht="48" customHeight="1" x14ac:dyDescent="0.25">
      <c r="A12" s="5" t="s">
        <v>70</v>
      </c>
      <c r="B12" s="5" t="s">
        <v>108</v>
      </c>
      <c r="C12" s="6" t="s">
        <v>66</v>
      </c>
      <c r="D12" s="10" t="s">
        <v>110</v>
      </c>
      <c r="E12" s="5" t="str">
        <f t="shared" si="0"/>
        <v>Q4|No</v>
      </c>
    </row>
    <row r="13" spans="1:5" ht="48" customHeight="1" x14ac:dyDescent="0.25">
      <c r="A13" s="5" t="s">
        <v>70</v>
      </c>
      <c r="B13" s="5" t="s">
        <v>108</v>
      </c>
      <c r="C13" s="6" t="s">
        <v>67</v>
      </c>
      <c r="D13" s="10" t="s">
        <v>111</v>
      </c>
      <c r="E13" s="5" t="str">
        <f t="shared" si="0"/>
        <v>Q4|Maybe</v>
      </c>
    </row>
    <row r="14" spans="1:5" ht="48" customHeight="1" x14ac:dyDescent="0.25">
      <c r="A14" s="5" t="s">
        <v>71</v>
      </c>
      <c r="B14" s="5" t="s">
        <v>112</v>
      </c>
      <c r="C14" s="6" t="s">
        <v>65</v>
      </c>
      <c r="D14" s="10" t="s">
        <v>113</v>
      </c>
      <c r="E14" s="5" t="str">
        <f t="shared" si="0"/>
        <v>Q5|Yes</v>
      </c>
    </row>
    <row r="15" spans="1:5" ht="48" customHeight="1" x14ac:dyDescent="0.25">
      <c r="A15" s="5" t="s">
        <v>71</v>
      </c>
      <c r="B15" s="5" t="s">
        <v>112</v>
      </c>
      <c r="C15" s="6" t="s">
        <v>66</v>
      </c>
      <c r="D15" s="10" t="s">
        <v>114</v>
      </c>
      <c r="E15" s="5" t="str">
        <f t="shared" si="0"/>
        <v>Q5|No</v>
      </c>
    </row>
    <row r="16" spans="1:5" ht="48" customHeight="1" x14ac:dyDescent="0.25">
      <c r="A16" s="5" t="s">
        <v>71</v>
      </c>
      <c r="B16" s="5" t="s">
        <v>112</v>
      </c>
      <c r="C16" s="6" t="s">
        <v>67</v>
      </c>
      <c r="D16" s="10" t="s">
        <v>115</v>
      </c>
      <c r="E16" s="5" t="str">
        <f t="shared" si="0"/>
        <v>Q5|Maybe</v>
      </c>
    </row>
    <row r="17" spans="1:5" ht="48" customHeight="1" x14ac:dyDescent="0.25">
      <c r="A17" s="5" t="s">
        <v>72</v>
      </c>
      <c r="B17" s="5" t="s">
        <v>116</v>
      </c>
      <c r="C17" s="6" t="s">
        <v>65</v>
      </c>
      <c r="D17" s="10" t="s">
        <v>117</v>
      </c>
      <c r="E17" s="5" t="str">
        <f t="shared" si="0"/>
        <v>Q6|Yes</v>
      </c>
    </row>
    <row r="18" spans="1:5" ht="48" customHeight="1" x14ac:dyDescent="0.25">
      <c r="A18" s="5" t="s">
        <v>72</v>
      </c>
      <c r="B18" s="5" t="s">
        <v>116</v>
      </c>
      <c r="C18" s="6" t="s">
        <v>66</v>
      </c>
      <c r="D18" s="10" t="s">
        <v>118</v>
      </c>
      <c r="E18" s="5" t="str">
        <f t="shared" si="0"/>
        <v>Q6|No</v>
      </c>
    </row>
    <row r="19" spans="1:5" ht="48" customHeight="1" x14ac:dyDescent="0.25">
      <c r="A19" s="5" t="s">
        <v>72</v>
      </c>
      <c r="B19" s="5" t="s">
        <v>116</v>
      </c>
      <c r="C19" s="6" t="s">
        <v>67</v>
      </c>
      <c r="D19" s="10" t="s">
        <v>119</v>
      </c>
      <c r="E19" s="5" t="str">
        <f t="shared" si="0"/>
        <v>Q6|Maybe</v>
      </c>
    </row>
    <row r="20" spans="1:5" ht="48" customHeight="1" x14ac:dyDescent="0.25">
      <c r="A20" s="5" t="s">
        <v>73</v>
      </c>
      <c r="B20" s="5" t="s">
        <v>10</v>
      </c>
      <c r="C20" s="6" t="s">
        <v>65</v>
      </c>
      <c r="D20" s="10" t="s">
        <v>120</v>
      </c>
      <c r="E20" s="5" t="str">
        <f t="shared" si="0"/>
        <v>Panel|Yes</v>
      </c>
    </row>
    <row r="21" spans="1:5" ht="48" customHeight="1" x14ac:dyDescent="0.25">
      <c r="A21" s="5" t="s">
        <v>73</v>
      </c>
      <c r="B21" s="5" t="s">
        <v>10</v>
      </c>
      <c r="C21" s="6" t="s">
        <v>66</v>
      </c>
      <c r="D21" s="10" t="s">
        <v>121</v>
      </c>
      <c r="E21" s="5" t="str">
        <f t="shared" si="0"/>
        <v>Panel|No</v>
      </c>
    </row>
    <row r="22" spans="1:5" ht="48" customHeight="1" x14ac:dyDescent="0.25">
      <c r="A22" s="5" t="s">
        <v>73</v>
      </c>
      <c r="B22" s="5" t="s">
        <v>10</v>
      </c>
      <c r="C22" s="6" t="s">
        <v>67</v>
      </c>
      <c r="D22" s="10" t="s">
        <v>122</v>
      </c>
      <c r="E22" s="5" t="str">
        <f t="shared" si="0"/>
        <v>Panel|Maybe</v>
      </c>
    </row>
    <row r="23" spans="1:5" ht="48" customHeight="1" x14ac:dyDescent="0.25">
      <c r="A23" s="5" t="s">
        <v>74</v>
      </c>
      <c r="B23" s="5" t="s">
        <v>11</v>
      </c>
      <c r="C23" s="6" t="s">
        <v>65</v>
      </c>
      <c r="D23" s="10" t="s">
        <v>123</v>
      </c>
      <c r="E23" s="5" t="str">
        <f t="shared" si="0"/>
        <v>Travel|Yes</v>
      </c>
    </row>
    <row r="24" spans="1:5" ht="48" customHeight="1" x14ac:dyDescent="0.25">
      <c r="A24" s="5" t="s">
        <v>74</v>
      </c>
      <c r="B24" s="5" t="s">
        <v>11</v>
      </c>
      <c r="C24" s="6" t="s">
        <v>66</v>
      </c>
      <c r="D24" s="10" t="s">
        <v>124</v>
      </c>
      <c r="E24" s="5" t="str">
        <f t="shared" si="0"/>
        <v>Travel|No</v>
      </c>
    </row>
    <row r="25" spans="1:5" ht="48" customHeight="1" x14ac:dyDescent="0.25">
      <c r="A25" s="5" t="s">
        <v>74</v>
      </c>
      <c r="B25" s="5" t="s">
        <v>11</v>
      </c>
      <c r="C25" s="6" t="s">
        <v>67</v>
      </c>
      <c r="D25" s="10" t="inlineStr">
        <is>
          <t xml:space="preserve">It is not yet clear whether travel or accommodation will be involved. If it is, it may be funded where it supports the eligible wellbeing activity, in line with the Official Travel Policy - please check the approval requirements with us before booking.</t>
        </is>
      </c>
      <c r="E25" s="5">
        <f>A25&amp;"|"&amp;C25</f>
      </c>
    </row>
  </sheetData>
  <autoFilter ref="A1:E25" xr:uid="{00000000-0009-0000-0000-000005000000}"/>
  <pageMargins left="0.75" right="0.75" top="1" bottom="1" header="0.511811023622047" footer="0.511811023622047"/>
  <pageSetup paperSize="9" orientation="portrait" horizontalDpi="300" verticalDpi="300"/>
  <headerFooter>
    <oddHeader>&amp;C&amp;"Aptos"&amp;12&amp;K000000 OFFICIAL&amp;1#_x000D_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4C55B"/>
  </sheetPr>
  <dimension ref="A1:F14"/>
  <sheetViews>
    <sheetView showGridLines="0" zoomScale="90" zoomScaleNormal="90" zoomScalePageLayoutView="90" workbookViewId="0">
      <pane ySplit="5" topLeftCell="A6" activePane="bottomLeft" state="frozen"/>
      <selection pane="bottomLeft" activeCell="B6" sqref="B6"/>
    </sheetView>
  </sheetViews>
  <sheetFormatPr defaultColWidth="8.7109375" defaultRowHeight="15" x14ac:dyDescent="0.25"/>
  <cols>
    <col min="1" max="1" width="34" customWidth="1"/>
    <col min="2" max="2" width="95" customWidth="1"/>
    <col min="3" max="3" width="12" hidden="1" customWidth="1"/>
    <col min="5" max="6" width="18" hidden="1" customWidth="1"/>
  </cols>
  <sheetData>
    <row r="1" spans="1:6" ht="27.95" customHeight="1" x14ac:dyDescent="0.25">
      <c r="A1" s="16" t="s">
        <v>125</v>
      </c>
      <c r="B1" s="24"/>
      <c r="E1" s="4" t="s">
        <v>126</v>
      </c>
      <c r="F1" s="4" t="s">
        <v>127</v>
      </c>
    </row>
    <row r="2" spans="1:6" ht="33.950000000000003" customHeight="1" x14ac:dyDescent="0.25">
      <c r="A2" s="17" t="s">
        <v>128</v>
      </c>
      <c r="B2" s="24"/>
      <c r="E2" s="5" t="str">
        <f>IF(SUM(PresetResponses[Visible row])=1,INDEX(PresetResponses[Response option],MATCH(1,PresetResponses[Visible row],0)),"")</f>
      </c>
      <c r="F2" s="5" t="str">
        <f>IF(OR(E2="",E2="Use standard triage response"),"",INDEX(PresetResponses[Draft email body],MATCH(E2,PresetResponses[Response option],0)))</f>
      </c>
    </row>
    <row r="3" spans="1:6" ht="30" customHeight="1" x14ac:dyDescent="0.25">
      <c r="A3" s="17" t="s">
        <v>129</v>
      </c>
      <c r="B3" s="24"/>
    </row>
    <row r="5" spans="1:6" ht="27.95" customHeight="1" x14ac:dyDescent="0.25">
      <c r="A5" s="4" t="s">
        <v>130</v>
      </c>
      <c r="B5" s="4" t="inlineStr">
        <is>
          <t>Draft email body</t>
        </is>
      </c>
      <c r="C5" s="4" t="s">
        <v>64</v>
      </c>
    </row>
    <row r="6" spans="1:6" ht="36" customHeight="1" x14ac:dyDescent="0.25">
      <c r="A6" s="5" t="s">
        <v>132</v>
      </c>
      <c r="B6" s="10" t="s">
        <v>58</v>
      </c>
      <c r="C6" s="5">
        <f>SUBTOTAL(103,A6)</f>
        <v>0</v>
      </c>
    </row>
    <row r="7" spans="1:6" ht="203" customHeight="1" x14ac:dyDescent="0.25">
      <c r="A7" s="5" t="inlineStr">
        <is>
          <t xml:space="preserve">Treatments / physiotherapy</t>
        </is>
      </c>
      <c r="B7" s="10" t="inlineStr">
        <is>
          <t xml:space="preserve">To answer briefly: no - personal health care, treatments and therapies (including physiotherapy and chiropractic care) are not within the scope of the targeted wellbeing funding.
To answer more thoroughly:
The Workers' Compensation and Injury Management Act 2023 (WA) prohibits employers from diverting workers away from making a claim, so wellbeing funds cannot be used for injury-related assessment or treatment services. Treatment for work-related pain or injury may be available through the workers' compensation process, and may include payment for expenses, loss of earnings or both. Personal medical expenses are considered a fringe benefit.
While this service falls outside the scope of the funding, there are a range of other services you may wish to consider, including professional learning and resilience training, mental health support or pastoral care, coaching or mentoring (including executive and wellbeing coaching), and executive health and wellbeing assessments.</t>
        </is>
      </c>
      <c r="C7" s="5">
        <f>SUBTOTAL(103,A7)</f>
      </c>
    </row>
    <row r="8" spans="1:6" ht="99" customHeight="1" x14ac:dyDescent="0.25">
      <c r="A8" s="5" t="inlineStr">
        <is>
          <t xml:space="preserve">Memberships, gym or devices</t>
        </is>
      </c>
      <c r="B8" s="10" t="inlineStr">
        <is>
          <t xml:space="preserve">To answer briefly: no - memberships (such as gym or Pilates memberships), goods and personal devices are for the personal benefit of the employee, are considered a fringe benefit, and are not within the scope of the targeted wellbeing funding.
You may instead wish to consider services such as professional learning and resilience training, mental health support or pastoral care, coaching or mentoring (including executive and wellbeing coaching), or an executive health and wellbeing assessment.</t>
        </is>
      </c>
      <c r="C8" s="5">
        <f>SUBTOTAL(103,A8)</f>
      </c>
    </row>
    <row r="9" spans="1:6" ht="190" customHeight="1" x14ac:dyDescent="0.25">
      <c r="A9" s="5" t="inlineStr">
        <is>
          <t xml:space="preserve">Travel &amp; accommodation</t>
        </is>
      </c>
      <c r="B9" s="10" t="inlineStr">
        <is>
          <t xml:space="preserve">To answer briefly: yes - the wellbeing funding can be used toward travel and accommodation needed to support access to an eligible wellbeing activity (such as professional learning, a professional conference or similar).
To answer more thoroughly:
The funding may be used for travel and accommodation where the travel is required to support the wellbeing activity. It is not intended to be used solely for travel or accommodation.
Travel needs to align with the Official Travel Policy and the associated Official Air Travel and Travel Accommodation, Meal and Other Expenses procedures. Travellers cannot approve their own travel: per the Travel Approval Schedule, please seek approval from an Assistant Director of Education or above prior to booking. For domestic air travel, the domestic air travel application form must be completed and approved before booking.</t>
        </is>
      </c>
      <c r="C9" s="5">
        <f>SUBTOTAL(103,A9)</f>
      </c>
    </row>
    <row r="10" spans="1:6" ht="190" customHeight="1" x14ac:dyDescent="0.25">
      <c r="A10" s="5" t="inlineStr">
        <is>
          <t xml:space="preserve">Conference / professional learning</t>
        </is>
      </c>
      <c r="B10" s="10" t="inlineStr">
        <is>
          <t xml:space="preserve">To answer briefly: yes - conferences and professional learning are considered appropriate expenditure where the majority of the program focuses on enhancing leadership capability and includes wellbeing topics for executives.
To answer more thoroughly:
Suitable themes include work-related stress reduction, managing workload and role overload, resilience skills for leaders, decision-making under stress, and high-performance leadership without burnout.
The targeted funding may complement your school's budget allocation for the principal's professional learning, and relevant travel costs, but it should not replace it. If travel is required to attend, it needs to align with the Official Travel Policy and associated procedures, with approval from an Assistant Director of Education or above prior to booking.</t>
        </is>
      </c>
      <c r="C10" s="5">
        <f>SUBTOTAL(103,A10)</f>
      </c>
    </row>
    <row r="11" spans="1:6" ht="190" customHeight="1" x14ac:dyDescent="0.25">
      <c r="A11" s="5" t="inlineStr">
        <is>
          <t xml:space="preserve">Pooling funding with schools</t>
        </is>
      </c>
      <c r="B11" s="10" t="inlineStr">
        <is>
          <t xml:space="preserve">To answer briefly: yes - you may choose to pool your wellbeing funding with other schools, such as those in your school network, to access higher cost support services (for example, leadership or wellbeing coaching).
To answer more thoroughly:
The decision-making framework applies to pooled funding in the same way as individual funding. You can choose an appropriate budget account or accounts to record the transfer of funds when pooling resources.
For purchases under $50,000, follow the Buy goods and services under $50,000 Ikon service - the Verbal quotation template or Very simple purchase template may be useful. Purchases of less than $5,000 are considered low-value procurements and a panel is not required, provided value for money has been considered.</t>
        </is>
      </c>
      <c r="C11" s="5">
        <f>SUBTOTAL(103,A11)</f>
      </c>
    </row>
    <row r="12" spans="1:6" ht="99" customHeight="1" x14ac:dyDescent="0.25">
      <c r="A12" s="5" t="inlineStr">
        <is>
          <t xml:space="preserve">Recording purchases / acquittal</t>
        </is>
      </c>
      <c r="B12" s="10" t="inlineStr">
        <is>
          <t xml:space="preserve">To answer briefly: expenditure only needs to be lodged through Oracle, and you can choose an appropriate budget account or accounts to record purchases against.
We do not monitor principal wellbeing expenditure, and you do not need to provide formal acquittal reports. We do encourage you to keep a record of your decisions to demonstrate accountable and ethical decision-making - the Manage school accounting records Ikon service provides guidance on record keeping.</t>
        </is>
      </c>
      <c r="C12" s="5">
        <f>SUBTOTAL(103,A12)</f>
      </c>
    </row>
    <row r="13" spans="1:6" ht="73" customHeight="1" x14ac:dyDescent="0.25">
      <c r="A13" s="5" t="inlineStr">
        <is>
          <t xml:space="preserve">Ergonomic equipment</t>
        </is>
      </c>
      <c r="B13" s="10" t="inlineStr">
        <is>
          <t xml:space="preserve">To answer briefly: ergonomic assessments and equipment are provided for in existing school funding, so they sit outside the targeted wellbeing funding.
For guidance, refer to the Manage workstation ergonomics and Work comfortably at your computer Ikon services.</t>
        </is>
      </c>
      <c r="C13" s="5">
        <f>SUBTOTAL(103,A13)</f>
      </c>
    </row>
    <row r="14" spans="1:6" ht="73" customHeight="1" x14ac:dyDescent="0.25">
      <c r="A14" s="5" t="inlineStr">
        <is>
          <t xml:space="preserve">Catering</t>
        </is>
      </c>
      <c r="B14" s="10" t="inlineStr">
        <is>
          <t xml:space="preserve">To answer briefly: the funding may be used for catering where the expenditure complies with the Expenditure on Hospitality procedures and is related to a principal wellbeing activity.
Please note that catering alone is not a principal wellbeing activity - it needs to be connected to an eligible wellbeing activity.</t>
        </is>
      </c>
      <c r="C14" s="5">
        <f>SUBTOTAL(103,A14)</f>
      </c>
    </row>
  </sheetData>
  <mergeCells count="3">
    <mergeCell ref="A1:B1"/>
    <mergeCell ref="A2:B2"/>
    <mergeCell ref="A3:B3"/>
  </mergeCells>
  <pageMargins left="0.5" right="0.5" top="0.6" bottom="0.6" header="0.3" footer="0.3"/>
  <headerFooter>
    <oddHeader>&amp;C&amp;"Aptos"&amp;12&amp;K000000 OFFICIAL&amp;1#_x000D_</oddHeader>
  </headerFooter>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Interactive triage</vt:lpstr>
      <vt:lpstr>Select answers</vt:lpstr>
      <vt:lpstr>Draft reply</vt:lpstr>
      <vt:lpstr>Pivot source data</vt:lpstr>
      <vt:lpstr>Reference links</vt:lpstr>
      <vt:lpstr>Response library</vt:lpstr>
      <vt:lpstr>Preset 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EARLE Devin [Work Health Safety Wellbeing]</cp:lastModifiedBy>
  <cp:revision>0</cp:revision>
  <dcterms:created xsi:type="dcterms:W3CDTF">2026-07-10T03:02:20Z</dcterms:created>
  <dcterms:modified xsi:type="dcterms:W3CDTF">2026-07-11T11:27:07Z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b51697-d8d5-4b00-af1f-cc3ba473113c_Enabled">
    <vt:lpwstr>true</vt:lpwstr>
  </property>
  <property fmtid="{D5CDD505-2E9C-101B-9397-08002B2CF9AE}" pid="3" name="MSIP_Label_1ab51697-d8d5-4b00-af1f-cc3ba473113c_SetDate">
    <vt:lpwstr>2026-07-11T11:26:12Z</vt:lpwstr>
  </property>
  <property fmtid="{D5CDD505-2E9C-101B-9397-08002B2CF9AE}" pid="4" name="MSIP_Label_1ab51697-d8d5-4b00-af1f-cc3ba473113c_Method">
    <vt:lpwstr>Standard</vt:lpwstr>
  </property>
  <property fmtid="{D5CDD505-2E9C-101B-9397-08002B2CF9AE}" pid="5" name="MSIP_Label_1ab51697-d8d5-4b00-af1f-cc3ba473113c_Name">
    <vt:lpwstr>OFFICIAL</vt:lpwstr>
  </property>
  <property fmtid="{D5CDD505-2E9C-101B-9397-08002B2CF9AE}" pid="6" name="MSIP_Label_1ab51697-d8d5-4b00-af1f-cc3ba473113c_SiteId">
    <vt:lpwstr>e08016f9-d1fd-4cbb-83b0-b76eb4361627</vt:lpwstr>
  </property>
  <property fmtid="{D5CDD505-2E9C-101B-9397-08002B2CF9AE}" pid="7" name="MSIP_Label_1ab51697-d8d5-4b00-af1f-cc3ba473113c_ActionId">
    <vt:lpwstr>ec6455b8-ae07-4f8e-a80a-88c81890c74b</vt:lpwstr>
  </property>
  <property fmtid="{D5CDD505-2E9C-101B-9397-08002B2CF9AE}" pid="8" name="MSIP_Label_1ab51697-d8d5-4b00-af1f-cc3ba473113c_ContentBits">
    <vt:lpwstr>1</vt:lpwstr>
  </property>
  <property fmtid="{D5CDD505-2E9C-101B-9397-08002B2CF9AE}" pid="9" name="MSIP_Label_1ab51697-d8d5-4b00-af1f-cc3ba473113c_Tag">
    <vt:lpwstr>10, 3, 0, 1</vt:lpwstr>
  </property>
</Properties>
</file>